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goloro\Downloads\"/>
    </mc:Choice>
  </mc:AlternateContent>
  <xr:revisionPtr revIDLastSave="0" documentId="13_ncr:1_{6B612999-B3B8-4CC1-9078-3FCF77E49127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General settings" sheetId="7" r:id="rId1"/>
    <sheet name="4x4 MIX" sheetId="4" r:id="rId2"/>
    <sheet name="2x2M" sheetId="1" r:id="rId3"/>
    <sheet name="2x2F" sheetId="2" r:id="rId4"/>
    <sheet name="2x2 MIX" sheetId="3" r:id="rId5"/>
    <sheet name="Global" sheetId="6" r:id="rId6"/>
    <sheet name="Agency calendar" sheetId="11" r:id="rId7"/>
    <sheet name="Standings" sheetId="8" r:id="rId8"/>
    <sheet name="Finals" sheetId="5" r:id="rId9"/>
    <sheet name="Players' check" sheetId="10" r:id="rId10"/>
  </sheets>
  <definedNames>
    <definedName name="_xlnm._FilterDatabase" localSheetId="4" hidden="1">'2x2 MIX'!$B$42:$G$82</definedName>
    <definedName name="_xlnm._FilterDatabase" localSheetId="3" hidden="1">'2x2F'!$A$27:$G$42</definedName>
    <definedName name="_xlnm._FilterDatabase" localSheetId="2" hidden="1">'2x2M'!$A$30:$G$48</definedName>
    <definedName name="_xlnm._FilterDatabase" localSheetId="1" hidden="1">'4x4 MIX'!$A$28:$G$45</definedName>
    <definedName name="_xlnm._FilterDatabase" localSheetId="5" hidden="1">Global!$A$1:$X$1006</definedName>
    <definedName name="_xlnm._FilterDatabase" localSheetId="9" hidden="1">'Players'' check'!$C$1:$C$89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zXx4YHc8Bp4+y4v3up61p0EQXN7h7l1ML62YszVnbBo="/>
    </ext>
  </extLst>
</workbook>
</file>

<file path=xl/calcChain.xml><?xml version="1.0" encoding="utf-8"?>
<calcChain xmlns="http://schemas.openxmlformats.org/spreadsheetml/2006/main">
  <c r="H6" i="6" l="1"/>
  <c r="I6" i="6"/>
  <c r="H7" i="6"/>
  <c r="I7" i="6"/>
  <c r="H8" i="6"/>
  <c r="I8" i="6"/>
  <c r="H9" i="6"/>
  <c r="I9" i="6"/>
  <c r="H10" i="6"/>
  <c r="I10" i="6"/>
  <c r="H11" i="6"/>
  <c r="I11" i="6"/>
  <c r="H12" i="6"/>
  <c r="I12" i="6"/>
  <c r="H13" i="6"/>
  <c r="I13" i="6"/>
  <c r="H14" i="6"/>
  <c r="I14" i="6"/>
  <c r="H15" i="6"/>
  <c r="I15" i="6"/>
  <c r="H16" i="6"/>
  <c r="I16" i="6"/>
  <c r="H17" i="6"/>
  <c r="I17" i="6"/>
  <c r="H18" i="6"/>
  <c r="I18" i="6"/>
  <c r="H19" i="6"/>
  <c r="I19" i="6"/>
  <c r="I5" i="6"/>
  <c r="A101" i="6" a="1"/>
  <c r="A101" i="6" s="1"/>
  <c r="H47" i="1"/>
  <c r="H45" i="1"/>
  <c r="H39" i="1"/>
  <c r="H35" i="1"/>
  <c r="H31" i="1"/>
  <c r="D35" i="1"/>
  <c r="C35" i="1"/>
  <c r="D39" i="1"/>
  <c r="C39" i="1"/>
  <c r="A20" i="4"/>
  <c r="A20" i="1"/>
  <c r="A30" i="3"/>
  <c r="A17" i="2"/>
  <c r="D84" i="3"/>
  <c r="D96" i="6" s="1"/>
  <c r="C84" i="3"/>
  <c r="C96" i="6" s="1"/>
  <c r="D83" i="3"/>
  <c r="D95" i="6" s="1"/>
  <c r="C83" i="3"/>
  <c r="A95" i="6"/>
  <c r="B95" i="6"/>
  <c r="C95" i="6"/>
  <c r="E95" i="6"/>
  <c r="F95" i="6"/>
  <c r="A96" i="6"/>
  <c r="B96" i="6"/>
  <c r="E96" i="6"/>
  <c r="F96" i="6"/>
  <c r="A20" i="6"/>
  <c r="B20" i="6"/>
  <c r="E20" i="6"/>
  <c r="F20" i="6"/>
  <c r="A21" i="6"/>
  <c r="B21" i="6"/>
  <c r="E21" i="6"/>
  <c r="F21" i="6"/>
  <c r="D45" i="4"/>
  <c r="D21" i="6" s="1"/>
  <c r="C45" i="4"/>
  <c r="C21" i="6" s="1"/>
  <c r="D44" i="4"/>
  <c r="D20" i="6" s="1"/>
  <c r="C44" i="4"/>
  <c r="C20" i="6" s="1"/>
  <c r="G30" i="4" l="1"/>
  <c r="G31" i="4"/>
  <c r="G32" i="4"/>
  <c r="G29" i="4"/>
  <c r="B24" i="1"/>
  <c r="C32" i="1" s="1"/>
  <c r="E25" i="4"/>
  <c r="E24" i="4"/>
  <c r="E23" i="4"/>
  <c r="D24" i="4"/>
  <c r="D23" i="4"/>
  <c r="C24" i="4"/>
  <c r="C23" i="4"/>
  <c r="B25" i="4"/>
  <c r="B24" i="4"/>
  <c r="B23" i="4"/>
  <c r="A25" i="4"/>
  <c r="A24" i="4"/>
  <c r="A23" i="4"/>
  <c r="D25" i="4"/>
  <c r="C25" i="4"/>
  <c r="C31" i="4" l="1"/>
  <c r="D30" i="4"/>
  <c r="H40" i="4" s="1"/>
  <c r="C30" i="4"/>
  <c r="C6" i="6" s="1"/>
  <c r="D31" i="4"/>
  <c r="H41" i="4" s="1"/>
  <c r="F24" i="5"/>
  <c r="A37" i="6"/>
  <c r="B37" i="6"/>
  <c r="E37" i="6"/>
  <c r="F37" i="6"/>
  <c r="A38" i="6"/>
  <c r="B38" i="6"/>
  <c r="E38" i="6"/>
  <c r="F38" i="6"/>
  <c r="A39" i="6"/>
  <c r="B39" i="6"/>
  <c r="E39" i="6"/>
  <c r="F39" i="6"/>
  <c r="A24" i="1"/>
  <c r="A120" i="8"/>
  <c r="A121" i="8"/>
  <c r="A119" i="8"/>
  <c r="A114" i="8"/>
  <c r="A115" i="8"/>
  <c r="A113" i="8"/>
  <c r="A108" i="8"/>
  <c r="A109" i="8"/>
  <c r="A107" i="8"/>
  <c r="A102" i="8"/>
  <c r="A103" i="8"/>
  <c r="A101" i="8"/>
  <c r="A95" i="8"/>
  <c r="A96" i="8"/>
  <c r="A94" i="8"/>
  <c r="C29" i="4"/>
  <c r="C5" i="6" s="1"/>
  <c r="D29" i="4"/>
  <c r="D5" i="6" s="1"/>
  <c r="C42" i="4"/>
  <c r="C18" i="6" s="1"/>
  <c r="D42" i="4"/>
  <c r="D18" i="6" s="1"/>
  <c r="C43" i="4"/>
  <c r="C19" i="6" s="1"/>
  <c r="D43" i="4"/>
  <c r="D19" i="6" s="1"/>
  <c r="A6" i="6"/>
  <c r="B6" i="6"/>
  <c r="E6" i="6"/>
  <c r="F6" i="6"/>
  <c r="A7" i="6"/>
  <c r="B7" i="6"/>
  <c r="E7" i="6"/>
  <c r="F7" i="6"/>
  <c r="A8" i="6"/>
  <c r="B8" i="6"/>
  <c r="E8" i="6"/>
  <c r="F8" i="6"/>
  <c r="A9" i="6"/>
  <c r="B9" i="6"/>
  <c r="E9" i="6"/>
  <c r="F9" i="6"/>
  <c r="A10" i="6"/>
  <c r="B10" i="6"/>
  <c r="E10" i="6"/>
  <c r="F10" i="6"/>
  <c r="A11" i="6"/>
  <c r="B11" i="6"/>
  <c r="E11" i="6"/>
  <c r="F11" i="6"/>
  <c r="A12" i="6"/>
  <c r="B12" i="6"/>
  <c r="E12" i="6"/>
  <c r="F12" i="6"/>
  <c r="A13" i="6"/>
  <c r="B13" i="6"/>
  <c r="E13" i="6"/>
  <c r="F13" i="6"/>
  <c r="A14" i="6"/>
  <c r="B14" i="6"/>
  <c r="E14" i="6"/>
  <c r="F14" i="6"/>
  <c r="A15" i="6"/>
  <c r="B15" i="6"/>
  <c r="E15" i="6"/>
  <c r="F15" i="6"/>
  <c r="A16" i="6"/>
  <c r="B16" i="6"/>
  <c r="E16" i="6"/>
  <c r="F16" i="6"/>
  <c r="A17" i="6"/>
  <c r="B17" i="6"/>
  <c r="E17" i="6"/>
  <c r="F17" i="6"/>
  <c r="A18" i="6"/>
  <c r="B18" i="6"/>
  <c r="E18" i="6"/>
  <c r="F18" i="6"/>
  <c r="A19" i="6"/>
  <c r="B19" i="6"/>
  <c r="E19" i="6"/>
  <c r="F19" i="6"/>
  <c r="D41" i="4"/>
  <c r="D17" i="6" s="1"/>
  <c r="C41" i="4"/>
  <c r="C17" i="6" s="1"/>
  <c r="D39" i="4"/>
  <c r="D15" i="6" s="1"/>
  <c r="C39" i="4"/>
  <c r="C15" i="6" s="1"/>
  <c r="D38" i="4"/>
  <c r="D14" i="6" s="1"/>
  <c r="C38" i="4"/>
  <c r="C14" i="6" s="1"/>
  <c r="D37" i="4"/>
  <c r="D13" i="6" s="1"/>
  <c r="C37" i="4"/>
  <c r="C13" i="6" s="1"/>
  <c r="D36" i="4"/>
  <c r="D12" i="6" s="1"/>
  <c r="C36" i="4"/>
  <c r="C12" i="6" s="1"/>
  <c r="D35" i="4"/>
  <c r="D11" i="6" s="1"/>
  <c r="C35" i="4"/>
  <c r="C11" i="6" s="1"/>
  <c r="D34" i="4"/>
  <c r="D10" i="6" s="1"/>
  <c r="C34" i="4"/>
  <c r="C10" i="6" s="1"/>
  <c r="D40" i="4"/>
  <c r="D16" i="6" s="1"/>
  <c r="D33" i="4"/>
  <c r="D9" i="6" s="1"/>
  <c r="D32" i="4"/>
  <c r="D8" i="6" s="1"/>
  <c r="C40" i="4"/>
  <c r="C16" i="6" s="1"/>
  <c r="C33" i="4"/>
  <c r="C9" i="6" s="1"/>
  <c r="C32" i="4"/>
  <c r="C8" i="6" s="1"/>
  <c r="C7" i="6"/>
  <c r="C23" i="2"/>
  <c r="D33" i="2" s="1"/>
  <c r="D45" i="6" s="1"/>
  <c r="C22" i="2"/>
  <c r="D28" i="2" s="1"/>
  <c r="D40" i="6" s="1"/>
  <c r="I40" i="6" s="1"/>
  <c r="C21" i="2"/>
  <c r="C33" i="2" s="1"/>
  <c r="C45" i="6" s="1"/>
  <c r="B24" i="2"/>
  <c r="D42" i="2" s="1"/>
  <c r="D54" i="6" s="1"/>
  <c r="B23" i="2"/>
  <c r="C32" i="2" s="1"/>
  <c r="B22" i="2"/>
  <c r="D29" i="2" s="1"/>
  <c r="D41" i="6" s="1"/>
  <c r="B21" i="2"/>
  <c r="A79" i="8" s="1"/>
  <c r="A24" i="2"/>
  <c r="A75" i="8" s="1"/>
  <c r="A23" i="2"/>
  <c r="D34" i="2" s="1"/>
  <c r="D46" i="6" s="1"/>
  <c r="I46" i="6" s="1"/>
  <c r="A22" i="2"/>
  <c r="A73" i="8" s="1"/>
  <c r="A21" i="2"/>
  <c r="C34" i="2" s="1"/>
  <c r="B27" i="1"/>
  <c r="A55" i="8" s="1"/>
  <c r="D26" i="1"/>
  <c r="D42" i="1" s="1"/>
  <c r="A27" i="1"/>
  <c r="D25" i="1"/>
  <c r="D34" i="1" s="1"/>
  <c r="D25" i="6" s="1"/>
  <c r="I25" i="6" s="1"/>
  <c r="D24" i="1"/>
  <c r="C42" i="1" s="1"/>
  <c r="H38" i="1" s="1"/>
  <c r="B26" i="1"/>
  <c r="D48" i="1" s="1"/>
  <c r="D39" i="6" s="1"/>
  <c r="I39" i="6" s="1"/>
  <c r="C25" i="1"/>
  <c r="D33" i="1" s="1"/>
  <c r="D24" i="6" s="1"/>
  <c r="I24" i="6" s="1"/>
  <c r="C24" i="1"/>
  <c r="C41" i="1" s="1"/>
  <c r="H37" i="1" s="1"/>
  <c r="C26" i="1"/>
  <c r="D37" i="1" s="1"/>
  <c r="D28" i="6" s="1"/>
  <c r="I28" i="6" s="1"/>
  <c r="B25" i="1"/>
  <c r="C48" i="1" s="1"/>
  <c r="A26" i="1"/>
  <c r="D47" i="1" s="1"/>
  <c r="D38" i="6" s="1"/>
  <c r="I38" i="6" s="1"/>
  <c r="A25" i="1"/>
  <c r="A46" i="8" s="1"/>
  <c r="F37" i="3"/>
  <c r="D78" i="3" s="1"/>
  <c r="D90" i="6" s="1"/>
  <c r="F36" i="3"/>
  <c r="D72" i="3" s="1"/>
  <c r="D84" i="6" s="1"/>
  <c r="F35" i="3"/>
  <c r="D48" i="3" s="1"/>
  <c r="D60" i="6" s="1"/>
  <c r="E37" i="3"/>
  <c r="D77" i="3" s="1"/>
  <c r="D89" i="6" s="1"/>
  <c r="E36" i="3"/>
  <c r="D71" i="3" s="1"/>
  <c r="D83" i="6" s="1"/>
  <c r="E35" i="3"/>
  <c r="C71" i="3" s="1"/>
  <c r="C83" i="6" s="1"/>
  <c r="D37" i="3"/>
  <c r="D64" i="3" s="1"/>
  <c r="D76" i="6" s="1"/>
  <c r="D36" i="3"/>
  <c r="D70" i="3" s="1"/>
  <c r="D82" i="6" s="1"/>
  <c r="I82" i="6" s="1"/>
  <c r="D35" i="3"/>
  <c r="D46" i="3" s="1"/>
  <c r="D58" i="6" s="1"/>
  <c r="C37" i="3"/>
  <c r="D63" i="3" s="1"/>
  <c r="D75" i="6" s="1"/>
  <c r="I75" i="6" s="1"/>
  <c r="C36" i="3"/>
  <c r="D69" i="3" s="1"/>
  <c r="D81" i="6" s="1"/>
  <c r="C35" i="3"/>
  <c r="D45" i="3" s="1"/>
  <c r="D57" i="6" s="1"/>
  <c r="I57" i="6" s="1"/>
  <c r="B37" i="3"/>
  <c r="D62" i="3" s="1"/>
  <c r="D74" i="6" s="1"/>
  <c r="B36" i="3"/>
  <c r="D56" i="3" s="1"/>
  <c r="D68" i="6" s="1"/>
  <c r="B35" i="3"/>
  <c r="C62" i="3" s="1"/>
  <c r="C74" i="6" s="1"/>
  <c r="A38" i="3"/>
  <c r="A9" i="8" s="1"/>
  <c r="A37" i="3"/>
  <c r="A36" i="3"/>
  <c r="C80" i="3" s="1"/>
  <c r="H79" i="3" s="1"/>
  <c r="A35" i="3"/>
  <c r="F34" i="3"/>
  <c r="A36" i="8" s="1"/>
  <c r="E34" i="3"/>
  <c r="A30" i="8" s="1"/>
  <c r="D34" i="3"/>
  <c r="A24" i="8" s="1"/>
  <c r="C34" i="3"/>
  <c r="C75" i="3" s="1"/>
  <c r="C87" i="6" s="1"/>
  <c r="B34" i="3"/>
  <c r="C74" i="3" s="1"/>
  <c r="C86" i="6" s="1"/>
  <c r="A34" i="3"/>
  <c r="A5" i="8" s="1"/>
  <c r="F5" i="6"/>
  <c r="E5" i="6"/>
  <c r="B5" i="6"/>
  <c r="A5" i="6"/>
  <c r="E94" i="6"/>
  <c r="B94" i="6"/>
  <c r="A94" i="6"/>
  <c r="E93" i="6"/>
  <c r="B93" i="6"/>
  <c r="A93" i="6"/>
  <c r="E92" i="6"/>
  <c r="B92" i="6"/>
  <c r="A92" i="6"/>
  <c r="E91" i="6"/>
  <c r="B91" i="6"/>
  <c r="A91" i="6"/>
  <c r="E90" i="6"/>
  <c r="B90" i="6"/>
  <c r="A90" i="6"/>
  <c r="E89" i="6"/>
  <c r="B89" i="6"/>
  <c r="A89" i="6"/>
  <c r="E88" i="6"/>
  <c r="B88" i="6"/>
  <c r="A88" i="6"/>
  <c r="E87" i="6"/>
  <c r="B87" i="6"/>
  <c r="A87" i="6"/>
  <c r="E86" i="6"/>
  <c r="B86" i="6"/>
  <c r="A86" i="6"/>
  <c r="E85" i="6"/>
  <c r="B85" i="6"/>
  <c r="A85" i="6"/>
  <c r="E84" i="6"/>
  <c r="B84" i="6"/>
  <c r="A84" i="6"/>
  <c r="E83" i="6"/>
  <c r="B83" i="6"/>
  <c r="A83" i="6"/>
  <c r="E82" i="6"/>
  <c r="B82" i="6"/>
  <c r="A82" i="6"/>
  <c r="E81" i="6"/>
  <c r="B81" i="6"/>
  <c r="A81" i="6"/>
  <c r="E80" i="6"/>
  <c r="B80" i="6"/>
  <c r="A80" i="6"/>
  <c r="E79" i="6"/>
  <c r="B79" i="6"/>
  <c r="A79" i="6"/>
  <c r="E78" i="6"/>
  <c r="B78" i="6"/>
  <c r="A78" i="6"/>
  <c r="E77" i="6"/>
  <c r="B77" i="6"/>
  <c r="A77" i="6"/>
  <c r="E76" i="6"/>
  <c r="B76" i="6"/>
  <c r="A76" i="6"/>
  <c r="E75" i="6"/>
  <c r="B75" i="6"/>
  <c r="A75" i="6"/>
  <c r="E74" i="6"/>
  <c r="B74" i="6"/>
  <c r="A74" i="6"/>
  <c r="E73" i="6"/>
  <c r="B73" i="6"/>
  <c r="A73" i="6"/>
  <c r="E72" i="6"/>
  <c r="B72" i="6"/>
  <c r="A72" i="6"/>
  <c r="E71" i="6"/>
  <c r="B71" i="6"/>
  <c r="A71" i="6"/>
  <c r="E70" i="6"/>
  <c r="B70" i="6"/>
  <c r="A70" i="6"/>
  <c r="E69" i="6"/>
  <c r="B69" i="6"/>
  <c r="A69" i="6"/>
  <c r="E68" i="6"/>
  <c r="B68" i="6"/>
  <c r="A68" i="6"/>
  <c r="E67" i="6"/>
  <c r="B67" i="6"/>
  <c r="A67" i="6"/>
  <c r="E66" i="6"/>
  <c r="B66" i="6"/>
  <c r="A66" i="6"/>
  <c r="E65" i="6"/>
  <c r="B65" i="6"/>
  <c r="A65" i="6"/>
  <c r="E64" i="6"/>
  <c r="B64" i="6"/>
  <c r="A64" i="6"/>
  <c r="E63" i="6"/>
  <c r="B63" i="6"/>
  <c r="A63" i="6"/>
  <c r="E62" i="6"/>
  <c r="B62" i="6"/>
  <c r="A62" i="6"/>
  <c r="E61" i="6"/>
  <c r="B61" i="6"/>
  <c r="A61" i="6"/>
  <c r="E60" i="6"/>
  <c r="B60" i="6"/>
  <c r="A60" i="6"/>
  <c r="E59" i="6"/>
  <c r="B59" i="6"/>
  <c r="A59" i="6"/>
  <c r="E58" i="6"/>
  <c r="B58" i="6"/>
  <c r="A58" i="6"/>
  <c r="E57" i="6"/>
  <c r="B57" i="6"/>
  <c r="A57" i="6"/>
  <c r="F56" i="6"/>
  <c r="E56" i="6"/>
  <c r="B56" i="6"/>
  <c r="A56" i="6"/>
  <c r="F55" i="6"/>
  <c r="E55" i="6"/>
  <c r="B55" i="6"/>
  <c r="A55" i="6"/>
  <c r="F54" i="6"/>
  <c r="E54" i="6"/>
  <c r="B54" i="6"/>
  <c r="A54" i="6"/>
  <c r="F53" i="6"/>
  <c r="E53" i="6"/>
  <c r="B53" i="6"/>
  <c r="A53" i="6"/>
  <c r="F52" i="6"/>
  <c r="E52" i="6"/>
  <c r="B52" i="6"/>
  <c r="A52" i="6"/>
  <c r="F51" i="6"/>
  <c r="E51" i="6"/>
  <c r="B51" i="6"/>
  <c r="A51" i="6"/>
  <c r="F50" i="6"/>
  <c r="E50" i="6"/>
  <c r="B50" i="6"/>
  <c r="A50" i="6"/>
  <c r="F49" i="6"/>
  <c r="E49" i="6"/>
  <c r="B49" i="6"/>
  <c r="A49" i="6"/>
  <c r="F48" i="6"/>
  <c r="E48" i="6"/>
  <c r="B48" i="6"/>
  <c r="A48" i="6"/>
  <c r="F47" i="6"/>
  <c r="E47" i="6"/>
  <c r="B47" i="6"/>
  <c r="A47" i="6"/>
  <c r="F46" i="6"/>
  <c r="E46" i="6"/>
  <c r="B46" i="6"/>
  <c r="A46" i="6"/>
  <c r="F45" i="6"/>
  <c r="E45" i="6"/>
  <c r="B45" i="6"/>
  <c r="A45" i="6"/>
  <c r="F44" i="6"/>
  <c r="E44" i="6"/>
  <c r="B44" i="6"/>
  <c r="A44" i="6"/>
  <c r="F43" i="6"/>
  <c r="E43" i="6"/>
  <c r="B43" i="6"/>
  <c r="A43" i="6"/>
  <c r="F42" i="6"/>
  <c r="E42" i="6"/>
  <c r="B42" i="6"/>
  <c r="A42" i="6"/>
  <c r="F41" i="6"/>
  <c r="E41" i="6"/>
  <c r="B41" i="6"/>
  <c r="A41" i="6"/>
  <c r="F40" i="6"/>
  <c r="E40" i="6"/>
  <c r="B40" i="6"/>
  <c r="A40" i="6"/>
  <c r="F36" i="6"/>
  <c r="E36" i="6"/>
  <c r="B36" i="6"/>
  <c r="A36" i="6"/>
  <c r="F35" i="6"/>
  <c r="E35" i="6"/>
  <c r="B35" i="6"/>
  <c r="A35" i="6"/>
  <c r="F34" i="6"/>
  <c r="E34" i="6"/>
  <c r="B34" i="6"/>
  <c r="A34" i="6"/>
  <c r="F33" i="6"/>
  <c r="E33" i="6"/>
  <c r="B33" i="6"/>
  <c r="A33" i="6"/>
  <c r="F32" i="6"/>
  <c r="E32" i="6"/>
  <c r="B32" i="6"/>
  <c r="A32" i="6"/>
  <c r="F31" i="6"/>
  <c r="E31" i="6"/>
  <c r="B31" i="6"/>
  <c r="A31" i="6"/>
  <c r="F30" i="6"/>
  <c r="E30" i="6"/>
  <c r="B30" i="6"/>
  <c r="A30" i="6"/>
  <c r="F29" i="6"/>
  <c r="E29" i="6"/>
  <c r="B29" i="6"/>
  <c r="A29" i="6"/>
  <c r="F28" i="6"/>
  <c r="E28" i="6"/>
  <c r="B28" i="6"/>
  <c r="A28" i="6"/>
  <c r="F27" i="6"/>
  <c r="E27" i="6"/>
  <c r="B27" i="6"/>
  <c r="A27" i="6"/>
  <c r="F26" i="6"/>
  <c r="E26" i="6"/>
  <c r="B26" i="6"/>
  <c r="A26" i="6"/>
  <c r="F25" i="6"/>
  <c r="E25" i="6"/>
  <c r="B25" i="6"/>
  <c r="A25" i="6"/>
  <c r="F24" i="6"/>
  <c r="E24" i="6"/>
  <c r="B24" i="6"/>
  <c r="A24" i="6"/>
  <c r="F23" i="6"/>
  <c r="E23" i="6"/>
  <c r="B23" i="6"/>
  <c r="A23" i="6"/>
  <c r="F22" i="6"/>
  <c r="E22" i="6"/>
  <c r="B22" i="6"/>
  <c r="A22" i="6"/>
  <c r="F19" i="5"/>
  <c r="F26" i="5" s="1"/>
  <c r="F18" i="5"/>
  <c r="F25" i="5" s="1"/>
  <c r="F17" i="5"/>
  <c r="F16" i="5"/>
  <c r="F23" i="5" s="1"/>
  <c r="F7" i="5"/>
  <c r="F11" i="5" s="1"/>
  <c r="F6" i="5"/>
  <c r="F10" i="5" s="1"/>
  <c r="F5" i="5"/>
  <c r="F9" i="5" s="1"/>
  <c r="F4" i="5"/>
  <c r="F8" i="5" s="1"/>
  <c r="M74" i="6" l="1"/>
  <c r="I74" i="6"/>
  <c r="M83" i="6"/>
  <c r="I83" i="6"/>
  <c r="M54" i="6"/>
  <c r="I54" i="6"/>
  <c r="T8" i="6"/>
  <c r="L84" i="6"/>
  <c r="I84" i="6"/>
  <c r="M45" i="6"/>
  <c r="I45" i="6"/>
  <c r="L10" i="6"/>
  <c r="M14" i="6"/>
  <c r="R18" i="6"/>
  <c r="M13" i="6"/>
  <c r="L60" i="6"/>
  <c r="I60" i="6"/>
  <c r="M58" i="6"/>
  <c r="I58" i="6"/>
  <c r="M90" i="6"/>
  <c r="I90" i="6"/>
  <c r="N7" i="6"/>
  <c r="R14" i="6"/>
  <c r="N18" i="6"/>
  <c r="M89" i="6"/>
  <c r="I89" i="6"/>
  <c r="K45" i="6"/>
  <c r="H45" i="6"/>
  <c r="J86" i="6"/>
  <c r="H86" i="6"/>
  <c r="M8" i="6"/>
  <c r="M11" i="6"/>
  <c r="N15" i="6"/>
  <c r="S5" i="6"/>
  <c r="L6" i="6"/>
  <c r="M81" i="6"/>
  <c r="I81" i="6"/>
  <c r="M19" i="6"/>
  <c r="K87" i="6"/>
  <c r="H87" i="6"/>
  <c r="J74" i="6"/>
  <c r="H74" i="6"/>
  <c r="L76" i="6"/>
  <c r="I76" i="6"/>
  <c r="M41" i="6"/>
  <c r="I41" i="6"/>
  <c r="N9" i="6"/>
  <c r="P11" i="6"/>
  <c r="T13" i="6"/>
  <c r="L68" i="6"/>
  <c r="I68" i="6"/>
  <c r="K83" i="6"/>
  <c r="H83" i="6"/>
  <c r="N16" i="6"/>
  <c r="N12" i="6"/>
  <c r="N17" i="6"/>
  <c r="M40" i="6"/>
  <c r="H5" i="6"/>
  <c r="J5" i="6"/>
  <c r="K5" i="6"/>
  <c r="D6" i="6"/>
  <c r="D46" i="1"/>
  <c r="D37" i="6" s="1"/>
  <c r="H31" i="4"/>
  <c r="H37" i="4"/>
  <c r="D7" i="6"/>
  <c r="H30" i="4"/>
  <c r="H39" i="4"/>
  <c r="A80" i="8"/>
  <c r="D30" i="2"/>
  <c r="D42" i="6" s="1"/>
  <c r="A86" i="8"/>
  <c r="C28" i="2"/>
  <c r="C40" i="6" s="1"/>
  <c r="H40" i="6" s="1"/>
  <c r="C35" i="2"/>
  <c r="C47" i="6" s="1"/>
  <c r="C36" i="2"/>
  <c r="C48" i="6" s="1"/>
  <c r="C37" i="2"/>
  <c r="C49" i="6" s="1"/>
  <c r="C42" i="2"/>
  <c r="A81" i="8"/>
  <c r="H31" i="2"/>
  <c r="C46" i="6"/>
  <c r="C44" i="6"/>
  <c r="H29" i="2"/>
  <c r="C29" i="2"/>
  <c r="D35" i="2"/>
  <c r="D47" i="6" s="1"/>
  <c r="C30" i="2"/>
  <c r="C42" i="6" s="1"/>
  <c r="C38" i="2"/>
  <c r="D38" i="2"/>
  <c r="D50" i="6" s="1"/>
  <c r="A85" i="8"/>
  <c r="H28" i="2"/>
  <c r="A72" i="8"/>
  <c r="H37" i="2"/>
  <c r="C31" i="2"/>
  <c r="C40" i="2"/>
  <c r="C52" i="6" s="1"/>
  <c r="D41" i="2"/>
  <c r="D53" i="6" s="1"/>
  <c r="C39" i="2"/>
  <c r="A74" i="8"/>
  <c r="H32" i="2"/>
  <c r="C41" i="2"/>
  <c r="H34" i="2"/>
  <c r="L38" i="6"/>
  <c r="M38" i="6"/>
  <c r="M28" i="6"/>
  <c r="L28" i="6"/>
  <c r="C43" i="1"/>
  <c r="C47" i="1"/>
  <c r="C38" i="6" s="1"/>
  <c r="H38" i="6" s="1"/>
  <c r="M39" i="6"/>
  <c r="L39" i="6"/>
  <c r="M24" i="6"/>
  <c r="L24" i="6"/>
  <c r="L25" i="6"/>
  <c r="M25" i="6"/>
  <c r="H65" i="3"/>
  <c r="H72" i="3"/>
  <c r="C73" i="3"/>
  <c r="H67" i="3" s="1"/>
  <c r="D81" i="3"/>
  <c r="H82" i="3" s="1"/>
  <c r="H75" i="3"/>
  <c r="C82" i="3"/>
  <c r="C94" i="6" s="1"/>
  <c r="D73" i="3"/>
  <c r="H71" i="3"/>
  <c r="D61" i="3"/>
  <c r="D73" i="6" s="1"/>
  <c r="I73" i="6" s="1"/>
  <c r="C46" i="3"/>
  <c r="C58" i="6" s="1"/>
  <c r="C79" i="3"/>
  <c r="H73" i="3" s="1"/>
  <c r="D79" i="3"/>
  <c r="D91" i="6" s="1"/>
  <c r="I91" i="6" s="1"/>
  <c r="H64" i="3"/>
  <c r="H76" i="3"/>
  <c r="C67" i="3"/>
  <c r="H61" i="3" s="1"/>
  <c r="D80" i="3"/>
  <c r="D92" i="6" s="1"/>
  <c r="H63" i="3"/>
  <c r="H78" i="3"/>
  <c r="D67" i="3"/>
  <c r="D79" i="6" s="1"/>
  <c r="C81" i="3"/>
  <c r="H80" i="3" s="1"/>
  <c r="H56" i="3"/>
  <c r="H66" i="3"/>
  <c r="H29" i="4"/>
  <c r="R10" i="6"/>
  <c r="P10" i="6"/>
  <c r="Q10" i="6"/>
  <c r="S10" i="6"/>
  <c r="P15" i="6"/>
  <c r="Q15" i="6"/>
  <c r="R15" i="6"/>
  <c r="S15" i="6"/>
  <c r="H33" i="4"/>
  <c r="P9" i="6"/>
  <c r="Q9" i="6"/>
  <c r="R9" i="6"/>
  <c r="S9" i="6"/>
  <c r="H43" i="4"/>
  <c r="H38" i="4"/>
  <c r="H42" i="4"/>
  <c r="T5" i="6"/>
  <c r="H34" i="4"/>
  <c r="H35" i="4"/>
  <c r="N6" i="6"/>
  <c r="G109" i="8" a="1"/>
  <c r="G109" i="8" s="1"/>
  <c r="G108" i="8" a="1"/>
  <c r="G108" i="8" s="1"/>
  <c r="H36" i="4"/>
  <c r="H32" i="4"/>
  <c r="E101" i="8" a="1"/>
  <c r="E101" i="8" s="1"/>
  <c r="G113" i="8" a="1"/>
  <c r="G113" i="8" s="1"/>
  <c r="C103" i="8" a="1"/>
  <c r="C103" i="8" s="1"/>
  <c r="F115" i="8"/>
  <c r="C102" i="8" a="1"/>
  <c r="C102" i="8" s="1"/>
  <c r="F109" i="8"/>
  <c r="B95" i="8" a="1"/>
  <c r="B95" i="8" s="1"/>
  <c r="F96" i="8"/>
  <c r="F103" i="8"/>
  <c r="F113" i="8"/>
  <c r="F102" i="8"/>
  <c r="B103" i="8" a="1"/>
  <c r="B103" i="8" s="1"/>
  <c r="F107" i="8"/>
  <c r="B108" i="8" a="1"/>
  <c r="B108" i="8" s="1"/>
  <c r="E115" i="8" a="1"/>
  <c r="E115" i="8" s="1"/>
  <c r="F120" i="8"/>
  <c r="E96" i="8" a="1"/>
  <c r="E96" i="8" s="1"/>
  <c r="B115" i="8" a="1"/>
  <c r="B115" i="8" s="1"/>
  <c r="E95" i="8" a="1"/>
  <c r="E95" i="8" s="1"/>
  <c r="C108" i="8" a="1"/>
  <c r="C108" i="8" s="1"/>
  <c r="F94" i="8"/>
  <c r="C107" i="8" a="1"/>
  <c r="C107" i="8" s="1"/>
  <c r="F114" i="8"/>
  <c r="C101" i="8" a="1"/>
  <c r="C101" i="8" s="1"/>
  <c r="B109" i="8" a="1"/>
  <c r="B109" i="8" s="1"/>
  <c r="F95" i="8"/>
  <c r="C96" i="8" a="1"/>
  <c r="C96" i="8" s="1"/>
  <c r="G94" i="8" a="1"/>
  <c r="G94" i="8" s="1"/>
  <c r="F101" i="8"/>
  <c r="B102" i="8" a="1"/>
  <c r="B102" i="8" s="1"/>
  <c r="E109" i="8" a="1"/>
  <c r="E109" i="8" s="1"/>
  <c r="B107" i="8" a="1"/>
  <c r="B107" i="8" s="1"/>
  <c r="E114" i="8" a="1"/>
  <c r="E114" i="8" s="1"/>
  <c r="F119" i="8"/>
  <c r="C109" i="8" a="1"/>
  <c r="C109" i="8" s="1"/>
  <c r="B94" i="8" a="1"/>
  <c r="B94" i="8" s="1"/>
  <c r="G107" i="8" a="1"/>
  <c r="G107" i="8" s="1"/>
  <c r="B96" i="8" a="1"/>
  <c r="B96" i="8" s="1"/>
  <c r="F121" i="8"/>
  <c r="C95" i="8" a="1"/>
  <c r="C95" i="8" s="1"/>
  <c r="G96" i="8" a="1"/>
  <c r="G96" i="8" s="1"/>
  <c r="E103" i="8" a="1"/>
  <c r="E103" i="8" s="1"/>
  <c r="B101" i="8" a="1"/>
  <c r="B101" i="8" s="1"/>
  <c r="E108" i="8" a="1"/>
  <c r="E108" i="8" s="1"/>
  <c r="G115" i="8" a="1"/>
  <c r="G115" i="8" s="1"/>
  <c r="C114" i="8" a="1"/>
  <c r="C114" i="8" s="1"/>
  <c r="E120" i="8" a="1"/>
  <c r="E120" i="8" s="1"/>
  <c r="G103" i="8" a="1"/>
  <c r="G103" i="8" s="1"/>
  <c r="G121" i="8" a="1"/>
  <c r="G121" i="8" s="1"/>
  <c r="G102" i="8" a="1"/>
  <c r="G102" i="8" s="1"/>
  <c r="B114" i="8" a="1"/>
  <c r="B114" i="8" s="1"/>
  <c r="G101" i="8" a="1"/>
  <c r="G101" i="8" s="1"/>
  <c r="B113" i="8" a="1"/>
  <c r="B113" i="8" s="1"/>
  <c r="F108" i="8"/>
  <c r="I108" i="8" s="1"/>
  <c r="C94" i="8" a="1"/>
  <c r="C94" i="8" s="1"/>
  <c r="E94" i="8" a="1"/>
  <c r="E94" i="8" s="1"/>
  <c r="G95" i="8" a="1"/>
  <c r="G95" i="8" s="1"/>
  <c r="E102" i="8" a="1"/>
  <c r="E102" i="8" s="1"/>
  <c r="E107" i="8" a="1"/>
  <c r="E107" i="8" s="1"/>
  <c r="G114" i="8" a="1"/>
  <c r="G114" i="8" s="1"/>
  <c r="C113" i="8" a="1"/>
  <c r="C113" i="8" s="1"/>
  <c r="B119" i="8" a="1"/>
  <c r="B119" i="8" s="1"/>
  <c r="N19" i="6"/>
  <c r="O12" i="6"/>
  <c r="T18" i="6"/>
  <c r="N13" i="6"/>
  <c r="O17" i="6"/>
  <c r="O11" i="6"/>
  <c r="N5" i="6"/>
  <c r="N11" i="6"/>
  <c r="O5" i="6"/>
  <c r="N10" i="6"/>
  <c r="O7" i="6"/>
  <c r="O15" i="6"/>
  <c r="U6" i="6"/>
  <c r="N8" i="6"/>
  <c r="H42" i="1"/>
  <c r="D38" i="1"/>
  <c r="H34" i="1" s="1"/>
  <c r="C33" i="6"/>
  <c r="H33" i="6" s="1"/>
  <c r="A60" i="8"/>
  <c r="C39" i="6"/>
  <c r="H39" i="6" s="1"/>
  <c r="H46" i="1"/>
  <c r="D30" i="6"/>
  <c r="I30" i="6" s="1"/>
  <c r="D43" i="1"/>
  <c r="D34" i="6" s="1"/>
  <c r="I34" i="6" s="1"/>
  <c r="D40" i="1"/>
  <c r="C44" i="1"/>
  <c r="H40" i="1" s="1"/>
  <c r="C36" i="1"/>
  <c r="H32" i="1" s="1"/>
  <c r="C40" i="1"/>
  <c r="H36" i="1" s="1"/>
  <c r="D44" i="1"/>
  <c r="D35" i="6" s="1"/>
  <c r="I35" i="6" s="1"/>
  <c r="H33" i="1"/>
  <c r="D36" i="1"/>
  <c r="H48" i="1" s="1"/>
  <c r="C45" i="1"/>
  <c r="H43" i="1" s="1"/>
  <c r="A54" i="8"/>
  <c r="C37" i="1"/>
  <c r="C28" i="6" s="1"/>
  <c r="H28" i="6" s="1"/>
  <c r="D41" i="1"/>
  <c r="D32" i="6" s="1"/>
  <c r="I32" i="6" s="1"/>
  <c r="D45" i="1"/>
  <c r="D36" i="6" s="1"/>
  <c r="I36" i="6" s="1"/>
  <c r="A48" i="8"/>
  <c r="H41" i="1"/>
  <c r="A66" i="8"/>
  <c r="C38" i="1"/>
  <c r="C29" i="6" s="1"/>
  <c r="H29" i="6" s="1"/>
  <c r="C46" i="1"/>
  <c r="E121" i="8" a="1"/>
  <c r="E121" i="8" s="1"/>
  <c r="E119" i="8" a="1"/>
  <c r="E119" i="8" s="1"/>
  <c r="B120" i="8" a="1"/>
  <c r="B120" i="8" s="1"/>
  <c r="E113" i="8" a="1"/>
  <c r="E113" i="8" s="1"/>
  <c r="G120" i="8" a="1"/>
  <c r="G120" i="8" s="1"/>
  <c r="C121" i="8" a="1"/>
  <c r="C121" i="8" s="1"/>
  <c r="C115" i="8" a="1"/>
  <c r="C115" i="8" s="1"/>
  <c r="G119" i="8" a="1"/>
  <c r="G119" i="8" s="1"/>
  <c r="C120" i="8" a="1"/>
  <c r="C120" i="8" s="1"/>
  <c r="C119" i="8" a="1"/>
  <c r="C119" i="8" s="1"/>
  <c r="B121" i="8" a="1"/>
  <c r="B121" i="8" s="1"/>
  <c r="C35" i="6"/>
  <c r="H35" i="6" s="1"/>
  <c r="C34" i="6"/>
  <c r="H34" i="6" s="1"/>
  <c r="C32" i="6"/>
  <c r="H32" i="6" s="1"/>
  <c r="D27" i="6"/>
  <c r="I27" i="6" s="1"/>
  <c r="D26" i="6"/>
  <c r="I26" i="6" s="1"/>
  <c r="D32" i="1"/>
  <c r="D23" i="6" s="1"/>
  <c r="I23" i="6" s="1"/>
  <c r="A45" i="8"/>
  <c r="A53" i="8"/>
  <c r="A59" i="8"/>
  <c r="A58" i="8"/>
  <c r="A64" i="8"/>
  <c r="A52" i="8"/>
  <c r="C76" i="3"/>
  <c r="C88" i="6" s="1"/>
  <c r="C60" i="3"/>
  <c r="C61" i="3"/>
  <c r="C55" i="3"/>
  <c r="C67" i="6" s="1"/>
  <c r="A6" i="8"/>
  <c r="C43" i="3"/>
  <c r="C55" i="6" s="1"/>
  <c r="H55" i="6" s="1"/>
  <c r="C56" i="3"/>
  <c r="C68" i="3"/>
  <c r="C80" i="6" s="1"/>
  <c r="C93" i="6"/>
  <c r="A12" i="8"/>
  <c r="D43" i="3"/>
  <c r="D55" i="6" s="1"/>
  <c r="C57" i="3"/>
  <c r="D44" i="3"/>
  <c r="A13" i="8"/>
  <c r="C44" i="3"/>
  <c r="C56" i="6" s="1"/>
  <c r="C58" i="3"/>
  <c r="D55" i="3"/>
  <c r="A18" i="8"/>
  <c r="C45" i="3"/>
  <c r="C57" i="6" s="1"/>
  <c r="C59" i="3"/>
  <c r="D85" i="6"/>
  <c r="A21" i="8"/>
  <c r="C47" i="3"/>
  <c r="C59" i="6" s="1"/>
  <c r="C77" i="3"/>
  <c r="C89" i="6" s="1"/>
  <c r="D82" i="3"/>
  <c r="C48" i="3"/>
  <c r="C60" i="6" s="1"/>
  <c r="C78" i="3"/>
  <c r="C90" i="6" s="1"/>
  <c r="P16" i="6"/>
  <c r="R16" i="6"/>
  <c r="S16" i="6"/>
  <c r="P12" i="6"/>
  <c r="Q12" i="6"/>
  <c r="P17" i="6"/>
  <c r="Q17" i="6"/>
  <c r="R17" i="6"/>
  <c r="S17" i="6"/>
  <c r="R13" i="6"/>
  <c r="S13" i="6"/>
  <c r="P13" i="6"/>
  <c r="Q13" i="6"/>
  <c r="Q6" i="6"/>
  <c r="R6" i="6"/>
  <c r="Q8" i="6"/>
  <c r="P8" i="6"/>
  <c r="A82" i="8"/>
  <c r="D37" i="2"/>
  <c r="D49" i="6" s="1"/>
  <c r="D40" i="2"/>
  <c r="D36" i="2"/>
  <c r="D48" i="6" s="1"/>
  <c r="D39" i="2"/>
  <c r="A87" i="8"/>
  <c r="D31" i="2"/>
  <c r="D32" i="2"/>
  <c r="D44" i="6" s="1"/>
  <c r="A65" i="8"/>
  <c r="D31" i="6"/>
  <c r="I31" i="6" s="1"/>
  <c r="A47" i="8"/>
  <c r="A20" i="8"/>
  <c r="A32" i="8"/>
  <c r="A33" i="8"/>
  <c r="A19" i="8"/>
  <c r="A31" i="8"/>
  <c r="A27" i="8"/>
  <c r="A26" i="8"/>
  <c r="A39" i="8"/>
  <c r="A25" i="8"/>
  <c r="A38" i="8"/>
  <c r="A37" i="8"/>
  <c r="A15" i="8"/>
  <c r="A14" i="8"/>
  <c r="C54" i="3"/>
  <c r="C72" i="3"/>
  <c r="C84" i="6" s="1"/>
  <c r="A8" i="8"/>
  <c r="A7" i="8"/>
  <c r="D93" i="6"/>
  <c r="P14" i="6"/>
  <c r="P6" i="6"/>
  <c r="S14" i="6"/>
  <c r="Q14" i="6"/>
  <c r="Q16" i="6"/>
  <c r="R8" i="6"/>
  <c r="R11" i="6"/>
  <c r="S11" i="6"/>
  <c r="Q11" i="6"/>
  <c r="S8" i="6"/>
  <c r="S6" i="6"/>
  <c r="Q18" i="6"/>
  <c r="P18" i="6"/>
  <c r="S18" i="6"/>
  <c r="R19" i="6"/>
  <c r="S19" i="6"/>
  <c r="Q19" i="6"/>
  <c r="P19" i="6"/>
  <c r="S12" i="6"/>
  <c r="R12" i="6"/>
  <c r="R5" i="6"/>
  <c r="C31" i="1"/>
  <c r="F55" i="8" s="1"/>
  <c r="C63" i="3"/>
  <c r="C64" i="3"/>
  <c r="D49" i="3"/>
  <c r="D61" i="6" s="1"/>
  <c r="D57" i="3"/>
  <c r="D69" i="6" s="1"/>
  <c r="C69" i="3"/>
  <c r="C81" i="6" s="1"/>
  <c r="D65" i="3"/>
  <c r="D77" i="6" s="1"/>
  <c r="C70" i="3"/>
  <c r="C82" i="6" s="1"/>
  <c r="C92" i="6"/>
  <c r="C49" i="3"/>
  <c r="H43" i="3" s="1"/>
  <c r="C65" i="3"/>
  <c r="D50" i="3"/>
  <c r="D58" i="3"/>
  <c r="D70" i="6" s="1"/>
  <c r="D66" i="3"/>
  <c r="D78" i="6" s="1"/>
  <c r="D74" i="3"/>
  <c r="C50" i="3"/>
  <c r="C66" i="3"/>
  <c r="D51" i="3"/>
  <c r="D63" i="6" s="1"/>
  <c r="D59" i="3"/>
  <c r="D71" i="6" s="1"/>
  <c r="D75" i="3"/>
  <c r="C51" i="3"/>
  <c r="D52" i="3"/>
  <c r="D64" i="6" s="1"/>
  <c r="D60" i="3"/>
  <c r="D72" i="6" s="1"/>
  <c r="D68" i="3"/>
  <c r="D76" i="3"/>
  <c r="C52" i="3"/>
  <c r="D53" i="3"/>
  <c r="D65" i="6" s="1"/>
  <c r="C53" i="3"/>
  <c r="D54" i="3"/>
  <c r="D66" i="6" s="1"/>
  <c r="D47" i="3"/>
  <c r="J8" i="6"/>
  <c r="L8" i="6"/>
  <c r="L54" i="6"/>
  <c r="J19" i="6"/>
  <c r="K19" i="6"/>
  <c r="L19" i="6"/>
  <c r="M18" i="6"/>
  <c r="L18" i="6"/>
  <c r="K18" i="6"/>
  <c r="J18" i="6"/>
  <c r="M17" i="6"/>
  <c r="K17" i="6"/>
  <c r="J17" i="6"/>
  <c r="M16" i="6"/>
  <c r="J16" i="6"/>
  <c r="K16" i="6"/>
  <c r="M15" i="6"/>
  <c r="K15" i="6"/>
  <c r="L15" i="6"/>
  <c r="J15" i="6"/>
  <c r="J12" i="6"/>
  <c r="K12" i="6"/>
  <c r="L12" i="6"/>
  <c r="K11" i="6"/>
  <c r="M9" i="6"/>
  <c r="L9" i="6"/>
  <c r="J9" i="6"/>
  <c r="K9" i="6"/>
  <c r="L5" i="6"/>
  <c r="M5" i="6"/>
  <c r="M7" i="6"/>
  <c r="K7" i="6"/>
  <c r="L7" i="6"/>
  <c r="J7" i="6"/>
  <c r="M46" i="6"/>
  <c r="L46" i="6"/>
  <c r="J45" i="6"/>
  <c r="L40" i="6"/>
  <c r="D31" i="1"/>
  <c r="D22" i="6" s="1"/>
  <c r="I22" i="6" s="1"/>
  <c r="C23" i="6"/>
  <c r="H23" i="6" s="1"/>
  <c r="C31" i="6"/>
  <c r="H31" i="6" s="1"/>
  <c r="C33" i="1"/>
  <c r="C24" i="6" s="1"/>
  <c r="H24" i="6" s="1"/>
  <c r="D33" i="6"/>
  <c r="I33" i="6" s="1"/>
  <c r="C34" i="1"/>
  <c r="C25" i="6" s="1"/>
  <c r="H25" i="6" s="1"/>
  <c r="L82" i="6"/>
  <c r="M82" i="6"/>
  <c r="M75" i="6"/>
  <c r="L75" i="6"/>
  <c r="L74" i="6"/>
  <c r="M57" i="6"/>
  <c r="L57" i="6"/>
  <c r="K74" i="6"/>
  <c r="J83" i="6"/>
  <c r="M84" i="6"/>
  <c r="K86" i="6"/>
  <c r="L89" i="6"/>
  <c r="M60" i="6"/>
  <c r="L81" i="6"/>
  <c r="M12" i="6"/>
  <c r="J14" i="6"/>
  <c r="P5" i="6"/>
  <c r="K8" i="6"/>
  <c r="J11" i="6"/>
  <c r="Q5" i="6"/>
  <c r="M10" i="6"/>
  <c r="L58" i="6"/>
  <c r="M68" i="6"/>
  <c r="L90" i="6"/>
  <c r="L11" i="6"/>
  <c r="L13" i="6"/>
  <c r="L14" i="6"/>
  <c r="K14" i="6"/>
  <c r="L41" i="6"/>
  <c r="L45" i="6"/>
  <c r="L83" i="6"/>
  <c r="J87" i="6"/>
  <c r="J6" i="6"/>
  <c r="J10" i="6"/>
  <c r="M76" i="6"/>
  <c r="K6" i="6"/>
  <c r="K10" i="6"/>
  <c r="M6" i="6"/>
  <c r="K13" i="6"/>
  <c r="J13" i="6"/>
  <c r="L17" i="6"/>
  <c r="L16" i="6"/>
  <c r="C79" i="6" l="1"/>
  <c r="K60" i="6"/>
  <c r="H60" i="6"/>
  <c r="K49" i="6"/>
  <c r="H49" i="6"/>
  <c r="L66" i="6"/>
  <c r="I66" i="6"/>
  <c r="M70" i="6"/>
  <c r="I70" i="6"/>
  <c r="M69" i="6"/>
  <c r="I69" i="6"/>
  <c r="J90" i="6"/>
  <c r="H90" i="6"/>
  <c r="K57" i="6"/>
  <c r="H57" i="6"/>
  <c r="M55" i="6"/>
  <c r="I55" i="6"/>
  <c r="J67" i="6"/>
  <c r="H67" i="6"/>
  <c r="M53" i="6"/>
  <c r="I53" i="6"/>
  <c r="M71" i="6"/>
  <c r="I71" i="6"/>
  <c r="M63" i="6"/>
  <c r="I63" i="6"/>
  <c r="M48" i="6"/>
  <c r="I48" i="6"/>
  <c r="J89" i="6"/>
  <c r="H89" i="6"/>
  <c r="K80" i="6"/>
  <c r="H80" i="6"/>
  <c r="K88" i="6"/>
  <c r="H88" i="6"/>
  <c r="K48" i="6"/>
  <c r="H48" i="6"/>
  <c r="S7" i="6"/>
  <c r="K92" i="6"/>
  <c r="H92" i="6"/>
  <c r="K59" i="6"/>
  <c r="H59" i="6"/>
  <c r="J56" i="6"/>
  <c r="H56" i="6"/>
  <c r="M79" i="6"/>
  <c r="I79" i="6"/>
  <c r="K47" i="6"/>
  <c r="H47" i="6"/>
  <c r="M61" i="6"/>
  <c r="I61" i="6"/>
  <c r="K94" i="6"/>
  <c r="H94" i="6"/>
  <c r="J82" i="6"/>
  <c r="H82" i="6"/>
  <c r="K84" i="6"/>
  <c r="H84" i="6"/>
  <c r="M49" i="6"/>
  <c r="I49" i="6"/>
  <c r="J58" i="6"/>
  <c r="H58" i="6"/>
  <c r="K44" i="6"/>
  <c r="H44" i="6"/>
  <c r="K52" i="6"/>
  <c r="H52" i="6"/>
  <c r="J42" i="6"/>
  <c r="H42" i="6"/>
  <c r="M93" i="6"/>
  <c r="I93" i="6"/>
  <c r="K93" i="6"/>
  <c r="H93" i="6"/>
  <c r="M72" i="6"/>
  <c r="I72" i="6"/>
  <c r="L77" i="6"/>
  <c r="I77" i="6"/>
  <c r="M85" i="6"/>
  <c r="I85" i="6"/>
  <c r="J46" i="6"/>
  <c r="H46" i="6"/>
  <c r="M37" i="6"/>
  <c r="I37" i="6"/>
  <c r="M65" i="6"/>
  <c r="I65" i="6"/>
  <c r="M47" i="6"/>
  <c r="I47" i="6"/>
  <c r="M64" i="6"/>
  <c r="I64" i="6"/>
  <c r="L78" i="6"/>
  <c r="I78" i="6"/>
  <c r="J81" i="6"/>
  <c r="H81" i="6"/>
  <c r="L44" i="6"/>
  <c r="I44" i="6"/>
  <c r="K79" i="6"/>
  <c r="H79" i="6"/>
  <c r="L92" i="6"/>
  <c r="I92" i="6"/>
  <c r="L50" i="6"/>
  <c r="I50" i="6"/>
  <c r="L42" i="6"/>
  <c r="I42" i="6"/>
  <c r="T6" i="6"/>
  <c r="K55" i="6"/>
  <c r="K40" i="6"/>
  <c r="L37" i="6"/>
  <c r="K46" i="6"/>
  <c r="U7" i="6"/>
  <c r="J48" i="6"/>
  <c r="J49" i="6"/>
  <c r="Q7" i="6"/>
  <c r="R7" i="6"/>
  <c r="P7" i="6"/>
  <c r="T7" i="6"/>
  <c r="M50" i="6"/>
  <c r="M42" i="6"/>
  <c r="J40" i="6"/>
  <c r="J44" i="6"/>
  <c r="I113" i="8"/>
  <c r="J47" i="6"/>
  <c r="L47" i="6"/>
  <c r="K42" i="6"/>
  <c r="H33" i="2"/>
  <c r="H40" i="2"/>
  <c r="C54" i="6"/>
  <c r="H54" i="6" s="1"/>
  <c r="C43" i="6"/>
  <c r="H43" i="6" s="1"/>
  <c r="H30" i="2"/>
  <c r="C53" i="6"/>
  <c r="H53" i="6" s="1"/>
  <c r="H39" i="2"/>
  <c r="C41" i="6"/>
  <c r="H41" i="6" s="1"/>
  <c r="H42" i="2"/>
  <c r="J52" i="6"/>
  <c r="D52" i="6"/>
  <c r="H38" i="2"/>
  <c r="C50" i="6"/>
  <c r="H50" i="6" s="1"/>
  <c r="H35" i="2"/>
  <c r="L53" i="6"/>
  <c r="C51" i="6"/>
  <c r="H51" i="6" s="1"/>
  <c r="H36" i="2"/>
  <c r="J29" i="6"/>
  <c r="K29" i="6"/>
  <c r="L33" i="6"/>
  <c r="M33" i="6"/>
  <c r="D29" i="6"/>
  <c r="I29" i="6" s="1"/>
  <c r="L36" i="6"/>
  <c r="M36" i="6"/>
  <c r="L35" i="6"/>
  <c r="M35" i="6"/>
  <c r="J24" i="6"/>
  <c r="K24" i="6"/>
  <c r="L23" i="6"/>
  <c r="M23" i="6"/>
  <c r="L32" i="6"/>
  <c r="M32" i="6"/>
  <c r="J39" i="6"/>
  <c r="K39" i="6"/>
  <c r="J38" i="6"/>
  <c r="K38" i="6"/>
  <c r="J25" i="6"/>
  <c r="K25" i="6"/>
  <c r="K31" i="6"/>
  <c r="J31" i="6"/>
  <c r="M26" i="6"/>
  <c r="L26" i="6"/>
  <c r="J28" i="6"/>
  <c r="K28" i="6"/>
  <c r="J23" i="6"/>
  <c r="K23" i="6"/>
  <c r="C27" i="6"/>
  <c r="H27" i="6" s="1"/>
  <c r="K33" i="6"/>
  <c r="J33" i="6"/>
  <c r="M22" i="6"/>
  <c r="L22" i="6"/>
  <c r="L31" i="6"/>
  <c r="M31" i="6"/>
  <c r="L27" i="6"/>
  <c r="M27" i="6"/>
  <c r="J32" i="6"/>
  <c r="K32" i="6"/>
  <c r="L34" i="6"/>
  <c r="M34" i="6"/>
  <c r="J34" i="6"/>
  <c r="K34" i="6"/>
  <c r="L30" i="6"/>
  <c r="M30" i="6"/>
  <c r="K35" i="6"/>
  <c r="J35" i="6"/>
  <c r="C85" i="6"/>
  <c r="H85" i="6" s="1"/>
  <c r="K58" i="6"/>
  <c r="M91" i="6"/>
  <c r="L91" i="6"/>
  <c r="M73" i="6"/>
  <c r="L73" i="6"/>
  <c r="C65" i="6"/>
  <c r="H47" i="3"/>
  <c r="C70" i="6"/>
  <c r="H52" i="3"/>
  <c r="C72" i="6"/>
  <c r="H54" i="3"/>
  <c r="C64" i="6"/>
  <c r="H46" i="3"/>
  <c r="C68" i="6"/>
  <c r="H50" i="3"/>
  <c r="C77" i="6"/>
  <c r="H59" i="3"/>
  <c r="C76" i="6"/>
  <c r="H58" i="3"/>
  <c r="C66" i="6"/>
  <c r="H48" i="3"/>
  <c r="D87" i="6"/>
  <c r="H69" i="3"/>
  <c r="C75" i="6"/>
  <c r="H57" i="3"/>
  <c r="D56" i="6"/>
  <c r="H74" i="3"/>
  <c r="C78" i="6"/>
  <c r="H60" i="3"/>
  <c r="C71" i="6"/>
  <c r="H53" i="3"/>
  <c r="C69" i="6"/>
  <c r="H51" i="3"/>
  <c r="C91" i="6"/>
  <c r="D67" i="6"/>
  <c r="H49" i="3"/>
  <c r="D59" i="6"/>
  <c r="H77" i="3"/>
  <c r="C62" i="6"/>
  <c r="H44" i="3"/>
  <c r="C73" i="6"/>
  <c r="H55" i="3"/>
  <c r="D80" i="6"/>
  <c r="H62" i="3"/>
  <c r="C63" i="6"/>
  <c r="H45" i="3"/>
  <c r="D86" i="6"/>
  <c r="H68" i="3"/>
  <c r="D94" i="6"/>
  <c r="H81" i="3"/>
  <c r="I109" i="8"/>
  <c r="K67" i="6"/>
  <c r="I95" i="8"/>
  <c r="I119" i="8"/>
  <c r="D103" i="8"/>
  <c r="H103" i="8" s="1"/>
  <c r="I102" i="8"/>
  <c r="I103" i="8"/>
  <c r="I121" i="8"/>
  <c r="D114" i="8"/>
  <c r="H114" i="8" s="1"/>
  <c r="D102" i="8"/>
  <c r="H102" i="8" s="1"/>
  <c r="I101" i="8"/>
  <c r="I94" i="8"/>
  <c r="I107" i="8"/>
  <c r="I115" i="8"/>
  <c r="D94" i="8"/>
  <c r="H94" i="8" s="1"/>
  <c r="D109" i="8"/>
  <c r="H109" i="8" s="1"/>
  <c r="I114" i="8"/>
  <c r="D108" i="8"/>
  <c r="H108" i="8" s="1"/>
  <c r="D107" i="8"/>
  <c r="H107" i="8" s="1"/>
  <c r="D101" i="8"/>
  <c r="H101" i="8" s="1"/>
  <c r="D115" i="8"/>
  <c r="H115" i="8" s="1"/>
  <c r="I120" i="8"/>
  <c r="D113" i="8"/>
  <c r="H113" i="8" s="1"/>
  <c r="D51" i="6"/>
  <c r="H41" i="2"/>
  <c r="D88" i="6"/>
  <c r="H70" i="3"/>
  <c r="E60" i="8" a="1"/>
  <c r="E60" i="8" s="1"/>
  <c r="E65" i="8" a="1"/>
  <c r="E65" i="8" s="1"/>
  <c r="F65" i="8"/>
  <c r="H44" i="1"/>
  <c r="C37" i="6"/>
  <c r="H37" i="6" s="1"/>
  <c r="C26" i="6"/>
  <c r="H26" i="6" s="1"/>
  <c r="F58" i="8"/>
  <c r="B58" i="8" a="1"/>
  <c r="B58" i="8" s="1"/>
  <c r="F46" i="8"/>
  <c r="F64" i="8"/>
  <c r="F59" i="8"/>
  <c r="F66" i="8"/>
  <c r="F54" i="8"/>
  <c r="B54" i="8" a="1"/>
  <c r="B54" i="8" s="1"/>
  <c r="C22" i="6"/>
  <c r="H22" i="6" s="1"/>
  <c r="B64" i="8" a="1"/>
  <c r="B64" i="8" s="1"/>
  <c r="E66" i="8" a="1"/>
  <c r="E66" i="8" s="1"/>
  <c r="B59" i="8" a="1"/>
  <c r="B59" i="8" s="1"/>
  <c r="E55" i="8" a="1"/>
  <c r="E55" i="8" s="1"/>
  <c r="G53" i="8" a="1"/>
  <c r="G53" i="8" s="1"/>
  <c r="C52" i="8" a="1"/>
  <c r="C52" i="8" s="1"/>
  <c r="C48" i="8" a="1"/>
  <c r="C48" i="8" s="1"/>
  <c r="E64" i="8" a="1"/>
  <c r="E64" i="8" s="1"/>
  <c r="B65" i="8" a="1"/>
  <c r="B65" i="8" s="1"/>
  <c r="B60" i="8" a="1"/>
  <c r="B60" i="8" s="1"/>
  <c r="C55" i="8" a="1"/>
  <c r="C55" i="8" s="1"/>
  <c r="B52" i="8" a="1"/>
  <c r="B52" i="8" s="1"/>
  <c r="C45" i="8" a="1"/>
  <c r="C45" i="8" s="1"/>
  <c r="G55" i="8" a="1"/>
  <c r="G55" i="8" s="1"/>
  <c r="I55" i="8" s="1"/>
  <c r="B66" i="8" a="1"/>
  <c r="B66" i="8" s="1"/>
  <c r="C58" i="8" a="1"/>
  <c r="C58" i="8" s="1"/>
  <c r="B55" i="8" a="1"/>
  <c r="B55" i="8" s="1"/>
  <c r="E53" i="8" a="1"/>
  <c r="E53" i="8" s="1"/>
  <c r="G46" i="8" a="1"/>
  <c r="G46" i="8" s="1"/>
  <c r="E46" i="8" a="1"/>
  <c r="E46" i="8" s="1"/>
  <c r="B46" i="8" a="1"/>
  <c r="B46" i="8" s="1"/>
  <c r="C64" i="8" a="1"/>
  <c r="C64" i="8" s="1"/>
  <c r="C59" i="8" a="1"/>
  <c r="C59" i="8" s="1"/>
  <c r="G58" i="8" a="1"/>
  <c r="G58" i="8" s="1"/>
  <c r="G54" i="8" a="1"/>
  <c r="G54" i="8" s="1"/>
  <c r="C53" i="8" a="1"/>
  <c r="C53" i="8" s="1"/>
  <c r="G47" i="8" a="1"/>
  <c r="G47" i="8" s="1"/>
  <c r="E47" i="8" a="1"/>
  <c r="E47" i="8" s="1"/>
  <c r="B47" i="8" a="1"/>
  <c r="B47" i="8" s="1"/>
  <c r="E59" i="8" a="1"/>
  <c r="E59" i="8" s="1"/>
  <c r="C65" i="8" a="1"/>
  <c r="C65" i="8" s="1"/>
  <c r="G64" i="8" a="1"/>
  <c r="G64" i="8" s="1"/>
  <c r="C60" i="8" a="1"/>
  <c r="C60" i="8" s="1"/>
  <c r="G59" i="8" a="1"/>
  <c r="G59" i="8" s="1"/>
  <c r="B53" i="8" a="1"/>
  <c r="B53" i="8" s="1"/>
  <c r="G48" i="8" a="1"/>
  <c r="G48" i="8" s="1"/>
  <c r="E48" i="8" a="1"/>
  <c r="E48" i="8" s="1"/>
  <c r="B48" i="8" a="1"/>
  <c r="B48" i="8" s="1"/>
  <c r="G66" i="8" a="1"/>
  <c r="G66" i="8" s="1"/>
  <c r="C46" i="8" a="1"/>
  <c r="C46" i="8" s="1"/>
  <c r="C66" i="8" a="1"/>
  <c r="C66" i="8" s="1"/>
  <c r="G65" i="8" a="1"/>
  <c r="G65" i="8" s="1"/>
  <c r="E58" i="8" a="1"/>
  <c r="E58" i="8" s="1"/>
  <c r="G60" i="8" a="1"/>
  <c r="G60" i="8" s="1"/>
  <c r="E54" i="8" a="1"/>
  <c r="E54" i="8" s="1"/>
  <c r="G52" i="8" a="1"/>
  <c r="G52" i="8" s="1"/>
  <c r="G45" i="8" a="1"/>
  <c r="G45" i="8" s="1"/>
  <c r="E45" i="8" a="1"/>
  <c r="E45" i="8" s="1"/>
  <c r="B45" i="8" a="1"/>
  <c r="B45" i="8" s="1"/>
  <c r="C54" i="8" a="1"/>
  <c r="C54" i="8" s="1"/>
  <c r="F53" i="8"/>
  <c r="F45" i="8"/>
  <c r="F48" i="8"/>
  <c r="F52" i="8"/>
  <c r="E52" i="8" a="1"/>
  <c r="E52" i="8" s="1"/>
  <c r="F47" i="8"/>
  <c r="C47" i="8" a="1"/>
  <c r="C47" i="8" s="1"/>
  <c r="F60" i="8"/>
  <c r="D120" i="8"/>
  <c r="H120" i="8" s="1"/>
  <c r="K89" i="6"/>
  <c r="J93" i="6"/>
  <c r="D119" i="8"/>
  <c r="H119" i="8" s="1"/>
  <c r="J60" i="6"/>
  <c r="J79" i="6"/>
  <c r="M92" i="6"/>
  <c r="J55" i="6"/>
  <c r="J88" i="6"/>
  <c r="J84" i="6"/>
  <c r="K56" i="6"/>
  <c r="J59" i="6"/>
  <c r="L85" i="6"/>
  <c r="J80" i="6"/>
  <c r="D121" i="8"/>
  <c r="H121" i="8" s="1"/>
  <c r="L55" i="6"/>
  <c r="J57" i="6"/>
  <c r="E15" i="8" a="1"/>
  <c r="E15" i="8" s="1"/>
  <c r="F15" i="8"/>
  <c r="G15" i="8" a="1"/>
  <c r="G15" i="8" s="1"/>
  <c r="B15" i="8" a="1"/>
  <c r="B15" i="8" s="1"/>
  <c r="C15" i="8" a="1"/>
  <c r="C15" i="8" s="1"/>
  <c r="D62" i="6"/>
  <c r="B39" i="8" a="1"/>
  <c r="B39" i="8" s="1"/>
  <c r="C39" i="8" a="1"/>
  <c r="C39" i="8" s="1"/>
  <c r="E39" i="8" a="1"/>
  <c r="E39" i="8" s="1"/>
  <c r="F39" i="8"/>
  <c r="G39" i="8" a="1"/>
  <c r="G39" i="8" s="1"/>
  <c r="D95" i="8"/>
  <c r="H95" i="8" s="1"/>
  <c r="D96" i="8"/>
  <c r="H96" i="8" s="1"/>
  <c r="I96" i="8"/>
  <c r="K90" i="6"/>
  <c r="C38" i="8" a="1"/>
  <c r="C38" i="8" s="1"/>
  <c r="C19" i="8" a="1"/>
  <c r="C19" i="8" s="1"/>
  <c r="F6" i="8"/>
  <c r="L49" i="6"/>
  <c r="L48" i="6"/>
  <c r="B82" i="8" a="1"/>
  <c r="B82" i="8" s="1"/>
  <c r="C82" i="8" a="1"/>
  <c r="C82" i="8" s="1"/>
  <c r="E82" i="8" a="1"/>
  <c r="E82" i="8" s="1"/>
  <c r="F82" i="8"/>
  <c r="G82" i="8" a="1"/>
  <c r="G82" i="8" s="1"/>
  <c r="E75" i="8" a="1"/>
  <c r="E75" i="8" s="1"/>
  <c r="B85" i="8" a="1"/>
  <c r="B85" i="8" s="1"/>
  <c r="B79" i="8" a="1"/>
  <c r="B79" i="8" s="1"/>
  <c r="B86" i="8" a="1"/>
  <c r="B86" i="8" s="1"/>
  <c r="B80" i="8" a="1"/>
  <c r="B80" i="8" s="1"/>
  <c r="E81" i="8" a="1"/>
  <c r="E81" i="8" s="1"/>
  <c r="F85" i="8"/>
  <c r="B81" i="8" a="1"/>
  <c r="B81" i="8" s="1"/>
  <c r="F79" i="8"/>
  <c r="G81" i="8" a="1"/>
  <c r="G81" i="8" s="1"/>
  <c r="C85" i="8" a="1"/>
  <c r="C85" i="8" s="1"/>
  <c r="F86" i="8"/>
  <c r="C79" i="8" a="1"/>
  <c r="C79" i="8" s="1"/>
  <c r="F80" i="8"/>
  <c r="C86" i="8" a="1"/>
  <c r="C86" i="8" s="1"/>
  <c r="C80" i="8" a="1"/>
  <c r="C80" i="8" s="1"/>
  <c r="F81" i="8"/>
  <c r="E80" i="8" a="1"/>
  <c r="E80" i="8" s="1"/>
  <c r="G85" i="8" a="1"/>
  <c r="G85" i="8" s="1"/>
  <c r="C81" i="8" a="1"/>
  <c r="C81" i="8" s="1"/>
  <c r="G79" i="8" a="1"/>
  <c r="G79" i="8" s="1"/>
  <c r="E85" i="8" a="1"/>
  <c r="E85" i="8" s="1"/>
  <c r="G86" i="8" a="1"/>
  <c r="G86" i="8" s="1"/>
  <c r="E79" i="8" a="1"/>
  <c r="E79" i="8" s="1"/>
  <c r="G80" i="8" a="1"/>
  <c r="G80" i="8" s="1"/>
  <c r="E86" i="8" a="1"/>
  <c r="E86" i="8" s="1"/>
  <c r="E87" i="8" a="1"/>
  <c r="E87" i="8" s="1"/>
  <c r="B87" i="8" a="1"/>
  <c r="B87" i="8" s="1"/>
  <c r="F87" i="8"/>
  <c r="C87" i="8" a="1"/>
  <c r="C87" i="8" s="1"/>
  <c r="G87" i="8" a="1"/>
  <c r="G87" i="8" s="1"/>
  <c r="M44" i="6"/>
  <c r="B75" i="8" a="1"/>
  <c r="B75" i="8" s="1"/>
  <c r="C75" i="8" a="1"/>
  <c r="C75" i="8" s="1"/>
  <c r="F75" i="8"/>
  <c r="B74" i="8" a="1"/>
  <c r="B74" i="8" s="1"/>
  <c r="G72" i="8" a="1"/>
  <c r="G72" i="8" s="1"/>
  <c r="E72" i="8" a="1"/>
  <c r="E72" i="8" s="1"/>
  <c r="B72" i="8" a="1"/>
  <c r="B72" i="8" s="1"/>
  <c r="D43" i="6"/>
  <c r="I43" i="6" s="1"/>
  <c r="F73" i="8"/>
  <c r="C73" i="8" a="1"/>
  <c r="C73" i="8" s="1"/>
  <c r="F74" i="8"/>
  <c r="C74" i="8" a="1"/>
  <c r="C74" i="8" s="1"/>
  <c r="E74" i="8" a="1"/>
  <c r="E74" i="8" s="1"/>
  <c r="B73" i="8" a="1"/>
  <c r="B73" i="8" s="1"/>
  <c r="F72" i="8"/>
  <c r="C72" i="8" a="1"/>
  <c r="C72" i="8" s="1"/>
  <c r="G73" i="8" a="1"/>
  <c r="G73" i="8" s="1"/>
  <c r="E73" i="8" a="1"/>
  <c r="E73" i="8" s="1"/>
  <c r="G74" i="8" a="1"/>
  <c r="G74" i="8" s="1"/>
  <c r="G75" i="8" a="1"/>
  <c r="G75" i="8" s="1"/>
  <c r="C30" i="6"/>
  <c r="H30" i="6" s="1"/>
  <c r="C36" i="6"/>
  <c r="H36" i="6" s="1"/>
  <c r="C32" i="8" a="1"/>
  <c r="C32" i="8" s="1"/>
  <c r="F36" i="8"/>
  <c r="F37" i="8"/>
  <c r="C30" i="8" a="1"/>
  <c r="C30" i="8" s="1"/>
  <c r="L65" i="6"/>
  <c r="G21" i="8" a="1"/>
  <c r="G21" i="8" s="1"/>
  <c r="B24" i="8" a="1"/>
  <c r="B24" i="8" s="1"/>
  <c r="C26" i="8" a="1"/>
  <c r="C26" i="8" s="1"/>
  <c r="F31" i="8"/>
  <c r="G36" i="8" a="1"/>
  <c r="G36" i="8" s="1"/>
  <c r="E31" i="8" a="1"/>
  <c r="E31" i="8" s="1"/>
  <c r="C31" i="8" a="1"/>
  <c r="C31" i="8" s="1"/>
  <c r="E27" i="8" a="1"/>
  <c r="E27" i="8" s="1"/>
  <c r="B21" i="8" a="1"/>
  <c r="B21" i="8" s="1"/>
  <c r="F25" i="8"/>
  <c r="C37" i="8" a="1"/>
  <c r="C37" i="8" s="1"/>
  <c r="E37" i="8" a="1"/>
  <c r="E37" i="8" s="1"/>
  <c r="F20" i="8"/>
  <c r="F21" i="8"/>
  <c r="B27" i="8" a="1"/>
  <c r="B27" i="8" s="1"/>
  <c r="B32" i="8" a="1"/>
  <c r="B32" i="8" s="1"/>
  <c r="B31" i="8" a="1"/>
  <c r="B31" i="8" s="1"/>
  <c r="E38" i="8" a="1"/>
  <c r="E38" i="8" s="1"/>
  <c r="G38" i="8" a="1"/>
  <c r="G38" i="8" s="1"/>
  <c r="G33" i="8" a="1"/>
  <c r="G33" i="8" s="1"/>
  <c r="E33" i="8" a="1"/>
  <c r="E33" i="8" s="1"/>
  <c r="C33" i="8" a="1"/>
  <c r="C33" i="8" s="1"/>
  <c r="B33" i="8" a="1"/>
  <c r="B33" i="8" s="1"/>
  <c r="F33" i="8"/>
  <c r="F19" i="8"/>
  <c r="G19" i="8" a="1"/>
  <c r="G19" i="8" s="1"/>
  <c r="G31" i="8" a="1"/>
  <c r="G31" i="8" s="1"/>
  <c r="G18" i="8" a="1"/>
  <c r="G18" i="8" s="1"/>
  <c r="E21" i="8" a="1"/>
  <c r="E21" i="8" s="1"/>
  <c r="E26" i="8" a="1"/>
  <c r="E26" i="8" s="1"/>
  <c r="F32" i="8"/>
  <c r="E30" i="8" a="1"/>
  <c r="E30" i="8" s="1"/>
  <c r="B25" i="8" a="1"/>
  <c r="B25" i="8" s="1"/>
  <c r="E25" i="8" a="1"/>
  <c r="E25" i="8" s="1"/>
  <c r="G25" i="8" a="1"/>
  <c r="G25" i="8" s="1"/>
  <c r="G32" i="8" a="1"/>
  <c r="G32" i="8" s="1"/>
  <c r="E32" i="8" a="1"/>
  <c r="E32" i="8" s="1"/>
  <c r="B20" i="8" a="1"/>
  <c r="B20" i="8" s="1"/>
  <c r="E19" i="8" a="1"/>
  <c r="E19" i="8" s="1"/>
  <c r="B13" i="8" a="1"/>
  <c r="B13" i="8" s="1"/>
  <c r="E24" i="8" a="1"/>
  <c r="E24" i="8" s="1"/>
  <c r="C36" i="8" a="1"/>
  <c r="C36" i="8" s="1"/>
  <c r="C24" i="8" a="1"/>
  <c r="C24" i="8" s="1"/>
  <c r="C18" i="8" a="1"/>
  <c r="C18" i="8" s="1"/>
  <c r="B18" i="8" a="1"/>
  <c r="B18" i="8" s="1"/>
  <c r="C20" i="8" a="1"/>
  <c r="C20" i="8" s="1"/>
  <c r="C25" i="8" a="1"/>
  <c r="C25" i="8" s="1"/>
  <c r="F30" i="8"/>
  <c r="G37" i="8" a="1"/>
  <c r="G37" i="8" s="1"/>
  <c r="E20" i="8" a="1"/>
  <c r="E20" i="8" s="1"/>
  <c r="G20" i="8" a="1"/>
  <c r="G20" i="8" s="1"/>
  <c r="B36" i="8" a="1"/>
  <c r="B36" i="8" s="1"/>
  <c r="F18" i="8"/>
  <c r="B26" i="8" a="1"/>
  <c r="B26" i="8" s="1"/>
  <c r="F24" i="8"/>
  <c r="G30" i="8" a="1"/>
  <c r="G30" i="8" s="1"/>
  <c r="B38" i="8" a="1"/>
  <c r="B38" i="8" s="1"/>
  <c r="B37" i="8" a="1"/>
  <c r="B37" i="8" s="1"/>
  <c r="G26" i="8" a="1"/>
  <c r="G26" i="8" s="1"/>
  <c r="E18" i="8" a="1"/>
  <c r="E18" i="8" s="1"/>
  <c r="G24" i="8" a="1"/>
  <c r="G24" i="8" s="1"/>
  <c r="G27" i="8" a="1"/>
  <c r="G27" i="8" s="1"/>
  <c r="L69" i="6"/>
  <c r="B19" i="8" a="1"/>
  <c r="B19" i="8" s="1"/>
  <c r="F26" i="8"/>
  <c r="F27" i="8"/>
  <c r="B30" i="8" a="1"/>
  <c r="B30" i="8" s="1"/>
  <c r="F38" i="8"/>
  <c r="E36" i="8" a="1"/>
  <c r="E36" i="8" s="1"/>
  <c r="C27" i="8" a="1"/>
  <c r="C27" i="8" s="1"/>
  <c r="C21" i="8" a="1"/>
  <c r="C21" i="8" s="1"/>
  <c r="B14" i="8" a="1"/>
  <c r="B14" i="8" s="1"/>
  <c r="C12" i="8" a="1"/>
  <c r="C12" i="8" s="1"/>
  <c r="G14" i="8" a="1"/>
  <c r="G14" i="8" s="1"/>
  <c r="C14" i="8" a="1"/>
  <c r="C14" i="8" s="1"/>
  <c r="F14" i="8"/>
  <c r="G13" i="8" a="1"/>
  <c r="G13" i="8" s="1"/>
  <c r="E14" i="8" a="1"/>
  <c r="E14" i="8" s="1"/>
  <c r="E13" i="8" a="1"/>
  <c r="E13" i="8" s="1"/>
  <c r="F13" i="8"/>
  <c r="C13" i="8" a="1"/>
  <c r="C13" i="8" s="1"/>
  <c r="G12" i="8" a="1"/>
  <c r="G12" i="8" s="1"/>
  <c r="B12" i="8" a="1"/>
  <c r="B12" i="8" s="1"/>
  <c r="E12" i="8" a="1"/>
  <c r="E12" i="8" s="1"/>
  <c r="F12" i="8"/>
  <c r="B7" i="8" a="1"/>
  <c r="B7" i="8" s="1"/>
  <c r="B8" i="8" a="1"/>
  <c r="B8" i="8" s="1"/>
  <c r="L70" i="6"/>
  <c r="B6" i="8" a="1"/>
  <c r="B6" i="8" s="1"/>
  <c r="B9" i="8" a="1"/>
  <c r="B9" i="8" s="1"/>
  <c r="B5" i="8" a="1"/>
  <c r="B5" i="8" s="1"/>
  <c r="C5" i="8" a="1"/>
  <c r="C5" i="8" s="1"/>
  <c r="K81" i="6"/>
  <c r="M78" i="6"/>
  <c r="L61" i="6"/>
  <c r="F9" i="8"/>
  <c r="K82" i="6"/>
  <c r="L93" i="6"/>
  <c r="E8" i="8" a="1"/>
  <c r="E8" i="8" s="1"/>
  <c r="F8" i="8"/>
  <c r="G8" i="8" a="1"/>
  <c r="G8" i="8" s="1"/>
  <c r="C8" i="8" a="1"/>
  <c r="C8" i="8" s="1"/>
  <c r="F5" i="8"/>
  <c r="C61" i="6"/>
  <c r="G6" i="8" a="1"/>
  <c r="G6" i="8" s="1"/>
  <c r="E9" i="8" a="1"/>
  <c r="E9" i="8" s="1"/>
  <c r="E5" i="8" a="1"/>
  <c r="E5" i="8" s="1"/>
  <c r="C6" i="8" a="1"/>
  <c r="C6" i="8" s="1"/>
  <c r="G9" i="8" a="1"/>
  <c r="G9" i="8" s="1"/>
  <c r="G5" i="8" a="1"/>
  <c r="G5" i="8" s="1"/>
  <c r="E6" i="8" a="1"/>
  <c r="E6" i="8" s="1"/>
  <c r="C9" i="8" a="1"/>
  <c r="C9" i="8" s="1"/>
  <c r="F7" i="8"/>
  <c r="G7" i="8" a="1"/>
  <c r="G7" i="8" s="1"/>
  <c r="C7" i="8" a="1"/>
  <c r="C7" i="8" s="1"/>
  <c r="E7" i="8" a="1"/>
  <c r="E7" i="8" s="1"/>
  <c r="L71" i="6"/>
  <c r="L63" i="6"/>
  <c r="M66" i="6"/>
  <c r="J92" i="6"/>
  <c r="L72" i="6"/>
  <c r="M77" i="6"/>
  <c r="J94" i="6"/>
  <c r="L64" i="6"/>
  <c r="L79" i="6"/>
  <c r="F58" i="6"/>
  <c r="K65" i="6" l="1"/>
  <c r="H65" i="6"/>
  <c r="L59" i="6"/>
  <c r="I59" i="6"/>
  <c r="M86" i="6"/>
  <c r="I86" i="6"/>
  <c r="K62" i="6"/>
  <c r="H62" i="6"/>
  <c r="M88" i="6"/>
  <c r="I88" i="6"/>
  <c r="K78" i="6"/>
  <c r="H78" i="6"/>
  <c r="J66" i="6"/>
  <c r="H66" i="6"/>
  <c r="J64" i="6"/>
  <c r="H64" i="6"/>
  <c r="K71" i="6"/>
  <c r="H71" i="6"/>
  <c r="K61" i="6"/>
  <c r="H61" i="6"/>
  <c r="L80" i="6"/>
  <c r="I80" i="6"/>
  <c r="M67" i="6"/>
  <c r="I67" i="6"/>
  <c r="M87" i="6"/>
  <c r="I87" i="6"/>
  <c r="K63" i="6"/>
  <c r="H63" i="6"/>
  <c r="M51" i="6"/>
  <c r="I51" i="6"/>
  <c r="K91" i="6"/>
  <c r="H91" i="6"/>
  <c r="M56" i="6"/>
  <c r="I56" i="6"/>
  <c r="K76" i="6"/>
  <c r="H76" i="6"/>
  <c r="J72" i="6"/>
  <c r="H72" i="6"/>
  <c r="M94" i="6"/>
  <c r="I94" i="6"/>
  <c r="K73" i="6"/>
  <c r="H73" i="6"/>
  <c r="L52" i="6"/>
  <c r="I52" i="6"/>
  <c r="J68" i="6"/>
  <c r="H68" i="6"/>
  <c r="L62" i="6"/>
  <c r="I62" i="6"/>
  <c r="K69" i="6"/>
  <c r="H69" i="6"/>
  <c r="J75" i="6"/>
  <c r="H75" i="6"/>
  <c r="J77" i="6"/>
  <c r="H77" i="6"/>
  <c r="J70" i="6"/>
  <c r="H70" i="6"/>
  <c r="M80" i="6"/>
  <c r="K64" i="6"/>
  <c r="M52" i="6"/>
  <c r="L67" i="6"/>
  <c r="K68" i="6"/>
  <c r="J63" i="6"/>
  <c r="M59" i="6"/>
  <c r="L56" i="6"/>
  <c r="J76" i="6"/>
  <c r="K72" i="6"/>
  <c r="J91" i="6"/>
  <c r="K54" i="6"/>
  <c r="J54" i="6"/>
  <c r="J51" i="6"/>
  <c r="K51" i="6"/>
  <c r="J53" i="6"/>
  <c r="K53" i="6"/>
  <c r="K41" i="6"/>
  <c r="J41" i="6"/>
  <c r="L51" i="6"/>
  <c r="J50" i="6"/>
  <c r="K50" i="6"/>
  <c r="K43" i="6"/>
  <c r="J43" i="6"/>
  <c r="J27" i="6"/>
  <c r="K27" i="6"/>
  <c r="L29" i="6"/>
  <c r="M29" i="6"/>
  <c r="J26" i="6"/>
  <c r="K26" i="6"/>
  <c r="J37" i="6"/>
  <c r="K37" i="6"/>
  <c r="J78" i="6"/>
  <c r="L87" i="6"/>
  <c r="J85" i="6"/>
  <c r="K85" i="6"/>
  <c r="J69" i="6"/>
  <c r="L86" i="6"/>
  <c r="J71" i="6"/>
  <c r="J65" i="6"/>
  <c r="K77" i="6"/>
  <c r="K66" i="6"/>
  <c r="J62" i="6"/>
  <c r="L94" i="6"/>
  <c r="K75" i="6"/>
  <c r="K70" i="6"/>
  <c r="J73" i="6"/>
  <c r="L88" i="6"/>
  <c r="I47" i="8"/>
  <c r="K22" i="6"/>
  <c r="J22" i="6"/>
  <c r="J36" i="6"/>
  <c r="K36" i="6"/>
  <c r="J30" i="6"/>
  <c r="K30" i="6"/>
  <c r="I52" i="8"/>
  <c r="D53" i="8"/>
  <c r="H53" i="8" s="1"/>
  <c r="D52" i="8"/>
  <c r="H52" i="8" s="1"/>
  <c r="I59" i="8"/>
  <c r="I53" i="8"/>
  <c r="D59" i="8"/>
  <c r="H59" i="8" s="1"/>
  <c r="I64" i="8"/>
  <c r="I65" i="8"/>
  <c r="I60" i="8"/>
  <c r="D60" i="8"/>
  <c r="H60" i="8" s="1"/>
  <c r="I46" i="8"/>
  <c r="D55" i="8"/>
  <c r="H55" i="8" s="1"/>
  <c r="D65" i="8"/>
  <c r="H65" i="8" s="1"/>
  <c r="D64" i="8"/>
  <c r="H64" i="8" s="1"/>
  <c r="D58" i="8"/>
  <c r="H58" i="8" s="1"/>
  <c r="I58" i="8"/>
  <c r="D66" i="8"/>
  <c r="H66" i="8" s="1"/>
  <c r="D54" i="8"/>
  <c r="H54" i="8" s="1"/>
  <c r="D48" i="8"/>
  <c r="H48" i="8" s="1"/>
  <c r="I54" i="8"/>
  <c r="I48" i="8"/>
  <c r="D47" i="8"/>
  <c r="H47" i="8" s="1"/>
  <c r="D46" i="8"/>
  <c r="H46" i="8" s="1"/>
  <c r="I66" i="8"/>
  <c r="M62" i="6"/>
  <c r="I36" i="8"/>
  <c r="D39" i="8"/>
  <c r="H39" i="8" s="1"/>
  <c r="D15" i="8"/>
  <c r="H15" i="8" s="1"/>
  <c r="I37" i="8"/>
  <c r="I39" i="8"/>
  <c r="I15" i="8"/>
  <c r="I18" i="8"/>
  <c r="D30" i="8"/>
  <c r="H30" i="8" s="1"/>
  <c r="D19" i="8"/>
  <c r="H19" i="8" s="1"/>
  <c r="D32" i="8"/>
  <c r="H32" i="8" s="1"/>
  <c r="I26" i="8"/>
  <c r="D27" i="8"/>
  <c r="H27" i="8" s="1"/>
  <c r="I86" i="8"/>
  <c r="I82" i="8"/>
  <c r="D82" i="8"/>
  <c r="H82" i="8" s="1"/>
  <c r="I85" i="8"/>
  <c r="I79" i="8"/>
  <c r="D81" i="8"/>
  <c r="H81" i="8" s="1"/>
  <c r="I87" i="8"/>
  <c r="D80" i="8"/>
  <c r="H80" i="8" s="1"/>
  <c r="D87" i="8"/>
  <c r="H87" i="8" s="1"/>
  <c r="D86" i="8"/>
  <c r="H86" i="8" s="1"/>
  <c r="D79" i="8"/>
  <c r="H79" i="8" s="1"/>
  <c r="I81" i="8"/>
  <c r="D85" i="8"/>
  <c r="H85" i="8" s="1"/>
  <c r="I80" i="8"/>
  <c r="D74" i="8"/>
  <c r="H74" i="8" s="1"/>
  <c r="D75" i="8"/>
  <c r="H75" i="8" s="1"/>
  <c r="D73" i="8"/>
  <c r="H73" i="8" s="1"/>
  <c r="I72" i="8"/>
  <c r="I73" i="8"/>
  <c r="D72" i="8"/>
  <c r="H72" i="8" s="1"/>
  <c r="I74" i="8"/>
  <c r="I75" i="8"/>
  <c r="M43" i="6"/>
  <c r="L43" i="6"/>
  <c r="I45" i="8"/>
  <c r="D45" i="8"/>
  <c r="H45" i="8" s="1"/>
  <c r="D31" i="8"/>
  <c r="H31" i="8" s="1"/>
  <c r="D12" i="8"/>
  <c r="H12" i="8" s="1"/>
  <c r="I21" i="8"/>
  <c r="D21" i="8"/>
  <c r="H21" i="8" s="1"/>
  <c r="D26" i="8"/>
  <c r="H26" i="8" s="1"/>
  <c r="I14" i="8"/>
  <c r="D14" i="8"/>
  <c r="H14" i="8" s="1"/>
  <c r="I32" i="8"/>
  <c r="I27" i="8"/>
  <c r="I24" i="8"/>
  <c r="D36" i="8"/>
  <c r="H36" i="8" s="1"/>
  <c r="I19" i="8"/>
  <c r="D20" i="8"/>
  <c r="H20" i="8" s="1"/>
  <c r="D33" i="8"/>
  <c r="H33" i="8" s="1"/>
  <c r="I38" i="8"/>
  <c r="D38" i="8"/>
  <c r="H38" i="8" s="1"/>
  <c r="I13" i="8"/>
  <c r="I25" i="8"/>
  <c r="D24" i="8"/>
  <c r="H24" i="8" s="1"/>
  <c r="I30" i="8"/>
  <c r="I33" i="8"/>
  <c r="D37" i="8"/>
  <c r="H37" i="8" s="1"/>
  <c r="D25" i="8"/>
  <c r="H25" i="8" s="1"/>
  <c r="D18" i="8"/>
  <c r="H18" i="8" s="1"/>
  <c r="I20" i="8"/>
  <c r="D13" i="8"/>
  <c r="H13" i="8" s="1"/>
  <c r="I31" i="8"/>
  <c r="I12" i="8"/>
  <c r="J61" i="6"/>
  <c r="B2" i="10" s="1" a="1"/>
  <c r="B2" i="10" s="1"/>
  <c r="D6" i="8"/>
  <c r="H6" i="8" s="1"/>
  <c r="I7" i="8"/>
  <c r="I8" i="8"/>
  <c r="D7" i="8"/>
  <c r="H7" i="8" s="1"/>
  <c r="D9" i="8"/>
  <c r="H9" i="8" s="1"/>
  <c r="I6" i="8"/>
  <c r="D5" i="8"/>
  <c r="H5" i="8" s="1"/>
  <c r="I5" i="8"/>
  <c r="D8" i="8"/>
  <c r="H8" i="8" s="1"/>
  <c r="I9" i="8"/>
  <c r="F62" i="6"/>
  <c r="P4" i="11" l="1" a="1"/>
  <c r="P4" i="11" s="1"/>
  <c r="K3" i="10" a="1"/>
  <c r="K3" i="10" s="1"/>
  <c r="F66" i="6"/>
  <c r="C2" i="10" l="1"/>
  <c r="C59" i="10"/>
  <c r="C60" i="10"/>
  <c r="C37" i="10"/>
  <c r="C14" i="10"/>
  <c r="C78" i="10"/>
  <c r="C56" i="10"/>
  <c r="C63" i="10"/>
  <c r="C65" i="10"/>
  <c r="C74" i="10"/>
  <c r="C87" i="10"/>
  <c r="C12" i="10"/>
  <c r="C24" i="10"/>
  <c r="C18" i="10"/>
  <c r="C51" i="10"/>
  <c r="C50" i="10"/>
  <c r="C3" i="10"/>
  <c r="C67" i="10"/>
  <c r="C68" i="10"/>
  <c r="C45" i="10"/>
  <c r="C22" i="10"/>
  <c r="C86" i="10"/>
  <c r="C64" i="10"/>
  <c r="C9" i="10"/>
  <c r="C73" i="10"/>
  <c r="C20" i="10"/>
  <c r="C66" i="10"/>
  <c r="C27" i="10"/>
  <c r="C46" i="10"/>
  <c r="C26" i="10"/>
  <c r="C31" i="10"/>
  <c r="C11" i="10"/>
  <c r="C75" i="10"/>
  <c r="C76" i="10"/>
  <c r="C53" i="10"/>
  <c r="C30" i="10"/>
  <c r="C8" i="10"/>
  <c r="C72" i="10"/>
  <c r="C17" i="10"/>
  <c r="C81" i="10"/>
  <c r="C7" i="10"/>
  <c r="C44" i="10"/>
  <c r="C5" i="10"/>
  <c r="C33" i="10"/>
  <c r="C55" i="10"/>
  <c r="C29" i="10"/>
  <c r="C19" i="10"/>
  <c r="C83" i="10"/>
  <c r="C84" i="10"/>
  <c r="C61" i="10"/>
  <c r="C38" i="10"/>
  <c r="C16" i="10"/>
  <c r="C80" i="10"/>
  <c r="C25" i="10"/>
  <c r="C10" i="10"/>
  <c r="C15" i="10"/>
  <c r="C23" i="10"/>
  <c r="C69" i="10"/>
  <c r="C52" i="10"/>
  <c r="C48" i="10"/>
  <c r="C57" i="10"/>
  <c r="C71" i="10"/>
  <c r="C35" i="10"/>
  <c r="C28" i="10"/>
  <c r="C13" i="10"/>
  <c r="C77" i="10"/>
  <c r="C54" i="10"/>
  <c r="C32" i="10"/>
  <c r="C58" i="10"/>
  <c r="C41" i="10"/>
  <c r="C34" i="10"/>
  <c r="C39" i="10"/>
  <c r="C79" i="10"/>
  <c r="C43" i="10"/>
  <c r="C36" i="10"/>
  <c r="C21" i="10"/>
  <c r="C85" i="10"/>
  <c r="C62" i="10"/>
  <c r="C40" i="10"/>
  <c r="C82" i="10"/>
  <c r="C49" i="10"/>
  <c r="C42" i="10"/>
  <c r="C47" i="10"/>
  <c r="C6" i="10"/>
  <c r="C70" i="10"/>
  <c r="C4" i="10"/>
  <c r="F60" i="6"/>
  <c r="F70" i="6"/>
  <c r="F57" i="6"/>
  <c r="F59" i="6"/>
  <c r="E3" i="10" l="1" a="1"/>
  <c r="F61" i="6"/>
  <c r="F74" i="6"/>
  <c r="F64" i="6"/>
  <c r="F63" i="6"/>
  <c r="E3" i="10" l="1"/>
  <c r="F11" i="10"/>
  <c r="F4" i="10"/>
  <c r="F5" i="10"/>
  <c r="F6" i="10"/>
  <c r="F7" i="10"/>
  <c r="F8" i="10"/>
  <c r="F9" i="10"/>
  <c r="F10" i="10"/>
  <c r="F3" i="10"/>
  <c r="F68" i="6"/>
  <c r="F78" i="6"/>
  <c r="F65" i="6"/>
  <c r="F67" i="6"/>
  <c r="F69" i="6" l="1"/>
  <c r="F82" i="6"/>
  <c r="F71" i="6"/>
  <c r="F72" i="6"/>
  <c r="F75" i="6" l="1"/>
  <c r="F86" i="6"/>
  <c r="F73" i="6"/>
  <c r="F76" i="6"/>
  <c r="F90" i="6" l="1"/>
  <c r="F77" i="6"/>
  <c r="F80" i="6"/>
  <c r="F79" i="6"/>
  <c r="F84" i="6" l="1"/>
  <c r="F81" i="6"/>
  <c r="F83" i="6"/>
  <c r="F94" i="6"/>
  <c r="F85" i="6" l="1"/>
  <c r="F87" i="6"/>
  <c r="F88" i="6"/>
  <c r="F91" i="6" l="1"/>
  <c r="F89" i="6"/>
  <c r="F92" i="6"/>
  <c r="F93" i="6" l="1"/>
  <c r="G34" i="4" l="1"/>
  <c r="G38" i="4" s="1"/>
  <c r="G7" i="6"/>
  <c r="G33" i="4"/>
  <c r="G8" i="6"/>
  <c r="G9" i="6" l="1"/>
  <c r="G14" i="6"/>
  <c r="G5" i="6"/>
  <c r="G36" i="4"/>
  <c r="G35" i="4"/>
  <c r="G6" i="6"/>
  <c r="G10" i="6"/>
  <c r="G12" i="6" l="1"/>
  <c r="G40" i="4"/>
  <c r="G16" i="6" s="1"/>
  <c r="G11" i="6"/>
  <c r="G39" i="4"/>
  <c r="G43" i="4" s="1"/>
  <c r="G44" i="4" s="1"/>
  <c r="G37" i="4"/>
  <c r="G45" i="4" l="1"/>
  <c r="G20" i="6"/>
  <c r="G31" i="1"/>
  <c r="G22" i="6" s="1"/>
  <c r="G42" i="4"/>
  <c r="G13" i="6"/>
  <c r="G33" i="1" l="1"/>
  <c r="G24" i="6" s="1"/>
  <c r="G32" i="1"/>
  <c r="G34" i="1" s="1"/>
  <c r="G21" i="6"/>
  <c r="L79" i="10" a="1"/>
  <c r="L79" i="10" s="1"/>
  <c r="J79" i="10" s="1"/>
  <c r="G18" i="6"/>
  <c r="G41" i="4"/>
  <c r="G15" i="6"/>
  <c r="G35" i="1" l="1"/>
  <c r="G23" i="6"/>
  <c r="L77" i="10" a="1"/>
  <c r="L77" i="10" s="1"/>
  <c r="J77" i="10" s="1"/>
  <c r="G28" i="2"/>
  <c r="G30" i="2" s="1"/>
  <c r="G29" i="2"/>
  <c r="G31" i="2" s="1"/>
  <c r="L67" i="10" a="1"/>
  <c r="L67" i="10" s="1"/>
  <c r="J67" i="10" s="1"/>
  <c r="L82" i="10" a="1"/>
  <c r="L82" i="10" s="1"/>
  <c r="J82" i="10" s="1"/>
  <c r="L80" i="10" a="1"/>
  <c r="L80" i="10" s="1"/>
  <c r="J80" i="10" s="1"/>
  <c r="L75" i="10" a="1"/>
  <c r="L75" i="10" s="1"/>
  <c r="J75" i="10" s="1"/>
  <c r="G26" i="6"/>
  <c r="G37" i="1"/>
  <c r="G25" i="6"/>
  <c r="G36" i="1"/>
  <c r="G19" i="6"/>
  <c r="L87" i="10" s="1" a="1"/>
  <c r="L87" i="10" s="1"/>
  <c r="J87" i="10" s="1"/>
  <c r="G17" i="6"/>
  <c r="L83" i="10" s="1" a="1"/>
  <c r="L83" i="10" s="1"/>
  <c r="J83" i="10" s="1"/>
  <c r="G41" i="6" l="1"/>
  <c r="G40" i="6"/>
  <c r="L76" i="10" a="1"/>
  <c r="L76" i="10" s="1"/>
  <c r="J76" i="10" s="1"/>
  <c r="L85" i="10" a="1"/>
  <c r="L85" i="10" s="1"/>
  <c r="J85" i="10" s="1"/>
  <c r="L84" i="10" a="1"/>
  <c r="L84" i="10" s="1"/>
  <c r="J84" i="10" s="1"/>
  <c r="L86" i="10" a="1"/>
  <c r="L86" i="10" s="1"/>
  <c r="J86" i="10" s="1"/>
  <c r="L81" i="10" a="1"/>
  <c r="L81" i="10" s="1"/>
  <c r="J81" i="10" s="1"/>
  <c r="L78" i="10" a="1"/>
  <c r="L78" i="10" s="1"/>
  <c r="J78" i="10" s="1"/>
  <c r="L88" i="10" a="1"/>
  <c r="L88" i="10" s="1"/>
  <c r="J88" i="10" s="1"/>
  <c r="G33" i="2"/>
  <c r="G43" i="6"/>
  <c r="G27" i="6"/>
  <c r="G38" i="1"/>
  <c r="G32" i="2"/>
  <c r="G42" i="6"/>
  <c r="G39" i="1"/>
  <c r="G28" i="6"/>
  <c r="G34" i="2" l="1"/>
  <c r="G44" i="6"/>
  <c r="G29" i="6"/>
  <c r="G40" i="1"/>
  <c r="G41" i="1"/>
  <c r="G30" i="6"/>
  <c r="G35" i="2"/>
  <c r="G45" i="6"/>
  <c r="L6" i="10" l="1" a="1"/>
  <c r="L6" i="10" s="1"/>
  <c r="G37" i="2"/>
  <c r="G47" i="6"/>
  <c r="G43" i="1"/>
  <c r="G32" i="6"/>
  <c r="G42" i="1"/>
  <c r="G31" i="6"/>
  <c r="G36" i="2"/>
  <c r="G46" i="6"/>
  <c r="G44" i="1" l="1"/>
  <c r="G33" i="6"/>
  <c r="L68" i="10" s="1" a="1"/>
  <c r="L68" i="10" s="1"/>
  <c r="J68" i="10" s="1"/>
  <c r="G38" i="2"/>
  <c r="G48" i="6"/>
  <c r="G45" i="1"/>
  <c r="G34" i="6"/>
  <c r="G39" i="2"/>
  <c r="G49" i="6"/>
  <c r="L60" i="10" l="1" a="1"/>
  <c r="L60" i="10" s="1"/>
  <c r="J60" i="10" s="1"/>
  <c r="L8" i="10" a="1"/>
  <c r="L8" i="10" s="1"/>
  <c r="G40" i="2"/>
  <c r="G50" i="6"/>
  <c r="G41" i="2"/>
  <c r="G53" i="6" s="1"/>
  <c r="G51" i="6"/>
  <c r="G47" i="1"/>
  <c r="G38" i="6" s="1"/>
  <c r="G36" i="6"/>
  <c r="G46" i="1"/>
  <c r="G35" i="6"/>
  <c r="L13" i="10" l="1" a="1"/>
  <c r="L13" i="10" s="1"/>
  <c r="G37" i="6"/>
  <c r="G48" i="1"/>
  <c r="G42" i="2"/>
  <c r="G54" i="6" s="1"/>
  <c r="G52" i="6"/>
  <c r="L70" i="10" l="1" a="1"/>
  <c r="L70" i="10" s="1"/>
  <c r="J70" i="10" s="1"/>
  <c r="L69" i="10" a="1"/>
  <c r="L69" i="10" s="1"/>
  <c r="J69" i="10" s="1"/>
  <c r="G43" i="3"/>
  <c r="G44" i="3"/>
  <c r="G56" i="6" s="1"/>
  <c r="L14" i="10" a="1"/>
  <c r="L14" i="10" s="1"/>
  <c r="G39" i="6"/>
  <c r="G45" i="3"/>
  <c r="G46" i="3"/>
  <c r="G48" i="3" l="1"/>
  <c r="G52" i="3" s="1"/>
  <c r="G58" i="6"/>
  <c r="G50" i="3"/>
  <c r="G49" i="3"/>
  <c r="G57" i="6"/>
  <c r="G55" i="6"/>
  <c r="G47" i="3"/>
  <c r="G60" i="6" l="1"/>
  <c r="G54" i="3"/>
  <c r="G62" i="6"/>
  <c r="G51" i="3"/>
  <c r="G59" i="6"/>
  <c r="G53" i="3"/>
  <c r="G61" i="6"/>
  <c r="G56" i="3"/>
  <c r="G64" i="6"/>
  <c r="G60" i="3" l="1"/>
  <c r="G68" i="6"/>
  <c r="G63" i="6"/>
  <c r="G55" i="3"/>
  <c r="G57" i="3"/>
  <c r="G65" i="6"/>
  <c r="G58" i="3"/>
  <c r="G66" i="6"/>
  <c r="G61" i="3" l="1"/>
  <c r="G69" i="6"/>
  <c r="G59" i="3"/>
  <c r="G67" i="6"/>
  <c r="G62" i="3"/>
  <c r="G70" i="6"/>
  <c r="G72" i="6"/>
  <c r="G64" i="3"/>
  <c r="G68" i="3" l="1"/>
  <c r="G76" i="6"/>
  <c r="G66" i="3"/>
  <c r="G74" i="6"/>
  <c r="G65" i="3"/>
  <c r="G73" i="6"/>
  <c r="G71" i="6"/>
  <c r="G63" i="3"/>
  <c r="L25" i="10" l="1" a="1"/>
  <c r="L25" i="10" s="1"/>
  <c r="G69" i="3"/>
  <c r="G77" i="6"/>
  <c r="G67" i="3"/>
  <c r="G75" i="6"/>
  <c r="G70" i="3"/>
  <c r="G78" i="6"/>
  <c r="G72" i="3"/>
  <c r="G74" i="3" s="1"/>
  <c r="G76" i="3" s="1"/>
  <c r="G80" i="6"/>
  <c r="L49" i="10" l="1" a="1"/>
  <c r="L49" i="10" s="1"/>
  <c r="L9" i="10" a="1"/>
  <c r="L9" i="10" s="1"/>
  <c r="G71" i="3"/>
  <c r="G73" i="3" s="1"/>
  <c r="G75" i="3" s="1"/>
  <c r="G77" i="3" s="1"/>
  <c r="G79" i="6"/>
  <c r="J25" i="10"/>
  <c r="G84" i="6"/>
  <c r="L34" i="10" s="1" a="1"/>
  <c r="L34" i="10" s="1"/>
  <c r="G86" i="6"/>
  <c r="L71" i="10" s="1" a="1"/>
  <c r="L71" i="10" s="1"/>
  <c r="J71" i="10" s="1"/>
  <c r="G82" i="6"/>
  <c r="G81" i="6"/>
  <c r="L36" i="10" s="1" a="1"/>
  <c r="L36" i="10" s="1"/>
  <c r="G85" i="6" l="1"/>
  <c r="J34" i="10"/>
  <c r="J36" i="10"/>
  <c r="G83" i="6"/>
  <c r="L43" i="10" s="1" a="1"/>
  <c r="L43" i="10" s="1"/>
  <c r="J14" i="10"/>
  <c r="G88" i="6"/>
  <c r="G78" i="3"/>
  <c r="G90" i="6" l="1"/>
  <c r="G80" i="3"/>
  <c r="G87" i="6"/>
  <c r="J6" i="10"/>
  <c r="J13" i="10"/>
  <c r="L19" i="10" l="1" a="1"/>
  <c r="L19" i="10" s="1"/>
  <c r="J19" i="10" s="1"/>
  <c r="L18" i="10" a="1"/>
  <c r="L18" i="10" s="1"/>
  <c r="J18" i="10" s="1"/>
  <c r="L41" i="10" a="1"/>
  <c r="L41" i="10" s="1"/>
  <c r="L50" i="10" a="1"/>
  <c r="L50" i="10" s="1"/>
  <c r="G79" i="3"/>
  <c r="G89" i="6"/>
  <c r="G82" i="3"/>
  <c r="G92" i="6"/>
  <c r="J8" i="10"/>
  <c r="L74" i="10" l="1" a="1"/>
  <c r="L74" i="10" s="1"/>
  <c r="J74" i="10" s="1"/>
  <c r="L65" i="10" a="1"/>
  <c r="L65" i="10" s="1"/>
  <c r="J65" i="10" s="1"/>
  <c r="G94" i="6"/>
  <c r="G84" i="3"/>
  <c r="G96" i="6" s="1"/>
  <c r="J41" i="10"/>
  <c r="J50" i="10"/>
  <c r="J9" i="10"/>
  <c r="J43" i="10"/>
  <c r="G81" i="3"/>
  <c r="G91" i="6"/>
  <c r="L21" i="10" l="1" a="1"/>
  <c r="L21" i="10" s="1"/>
  <c r="L7" i="10" a="1"/>
  <c r="L7" i="10" s="1"/>
  <c r="J7" i="10" s="1"/>
  <c r="L61" i="10" a="1"/>
  <c r="L61" i="10" s="1"/>
  <c r="J61" i="10" s="1"/>
  <c r="L22" i="10" a="1"/>
  <c r="L22" i="10" s="1"/>
  <c r="J22" i="10" s="1"/>
  <c r="L26" i="10" a="1"/>
  <c r="L26" i="10" s="1"/>
  <c r="J26" i="10" s="1"/>
  <c r="L57" i="10" a="1"/>
  <c r="L57" i="10" s="1"/>
  <c r="J57" i="10" s="1"/>
  <c r="L20" i="10" a="1"/>
  <c r="L20" i="10" s="1"/>
  <c r="J20" i="10" s="1"/>
  <c r="L17" i="10" a="1"/>
  <c r="L17" i="10" s="1"/>
  <c r="J17" i="10" s="1"/>
  <c r="L23" i="10" a="1"/>
  <c r="L23" i="10" s="1"/>
  <c r="J23" i="10" s="1"/>
  <c r="L53" i="10" a="1"/>
  <c r="L53" i="10" s="1"/>
  <c r="J53" i="10" s="1"/>
  <c r="L24" i="10" a="1"/>
  <c r="L24" i="10" s="1"/>
  <c r="J24" i="10" s="1"/>
  <c r="L11" i="10" a="1"/>
  <c r="L11" i="10" s="1"/>
  <c r="J11" i="10" s="1"/>
  <c r="L4" i="10" a="1"/>
  <c r="L4" i="10" s="1"/>
  <c r="J4" i="10" s="1"/>
  <c r="L47" i="10" a="1"/>
  <c r="L47" i="10" s="1"/>
  <c r="J47" i="10" s="1"/>
  <c r="L33" i="10" a="1"/>
  <c r="L33" i="10" s="1"/>
  <c r="J33" i="10" s="1"/>
  <c r="L16" i="10" a="1"/>
  <c r="L16" i="10" s="1"/>
  <c r="J16" i="10" s="1"/>
  <c r="L32" i="10" a="1"/>
  <c r="L32" i="10" s="1"/>
  <c r="J32" i="10" s="1"/>
  <c r="L55" i="10" a="1"/>
  <c r="L55" i="10" s="1"/>
  <c r="J55" i="10" s="1"/>
  <c r="L48" i="10" a="1"/>
  <c r="L48" i="10" s="1"/>
  <c r="J48" i="10" s="1"/>
  <c r="L10" i="10" a="1"/>
  <c r="L10" i="10" s="1"/>
  <c r="J10" i="10" s="1"/>
  <c r="L63" i="10" a="1"/>
  <c r="L63" i="10" s="1"/>
  <c r="J63" i="10" s="1"/>
  <c r="L64" i="10" a="1"/>
  <c r="L64" i="10" s="1"/>
  <c r="J64" i="10" s="1"/>
  <c r="L35" i="10" a="1"/>
  <c r="L35" i="10" s="1"/>
  <c r="J35" i="10" s="1"/>
  <c r="L51" i="10" a="1"/>
  <c r="L51" i="10" s="1"/>
  <c r="J51" i="10" s="1"/>
  <c r="L3" i="10" a="1"/>
  <c r="L3" i="10" s="1"/>
  <c r="J3" i="10" s="1"/>
  <c r="L15" i="10" a="1"/>
  <c r="L15" i="10" s="1"/>
  <c r="J15" i="10" s="1"/>
  <c r="L30" i="10" a="1"/>
  <c r="L30" i="10" s="1"/>
  <c r="J30" i="10" s="1"/>
  <c r="L58" i="10" a="1"/>
  <c r="L58" i="10" s="1"/>
  <c r="J58" i="10" s="1"/>
  <c r="L27" i="10" a="1"/>
  <c r="L27" i="10" s="1"/>
  <c r="J27" i="10" s="1"/>
  <c r="L54" i="10" a="1"/>
  <c r="L54" i="10" s="1"/>
  <c r="J54" i="10" s="1"/>
  <c r="L28" i="10" a="1"/>
  <c r="L28" i="10" s="1"/>
  <c r="J28" i="10" s="1"/>
  <c r="L56" i="10" a="1"/>
  <c r="L56" i="10" s="1"/>
  <c r="J56" i="10" s="1"/>
  <c r="L12" i="10" a="1"/>
  <c r="L12" i="10" s="1"/>
  <c r="J12" i="10" s="1"/>
  <c r="L62" i="10" a="1"/>
  <c r="L62" i="10" s="1"/>
  <c r="J62" i="10" s="1"/>
  <c r="L59" i="10" a="1"/>
  <c r="L59" i="10" s="1"/>
  <c r="J59" i="10" s="1"/>
  <c r="L29" i="10" a="1"/>
  <c r="L29" i="10" s="1"/>
  <c r="J29" i="10" s="1"/>
  <c r="L52" i="10" a="1"/>
  <c r="L52" i="10" s="1"/>
  <c r="J52" i="10" s="1"/>
  <c r="L46" i="10" a="1"/>
  <c r="L46" i="10" s="1"/>
  <c r="J46" i="10" s="1"/>
  <c r="L72" i="10" a="1"/>
  <c r="L72" i="10" s="1"/>
  <c r="J72" i="10" s="1"/>
  <c r="L37" i="10" a="1"/>
  <c r="L37" i="10" s="1"/>
  <c r="J37" i="10" s="1"/>
  <c r="L73" i="10" a="1"/>
  <c r="L73" i="10" s="1"/>
  <c r="J73" i="10" s="1"/>
  <c r="L44" i="10" a="1"/>
  <c r="L44" i="10" s="1"/>
  <c r="J44" i="10" s="1"/>
  <c r="L31" i="10" a="1"/>
  <c r="L31" i="10" s="1"/>
  <c r="J31" i="10" s="1"/>
  <c r="L42" i="10" a="1"/>
  <c r="L42" i="10" s="1"/>
  <c r="J42" i="10" s="1"/>
  <c r="L66" i="10" a="1"/>
  <c r="L66" i="10" s="1"/>
  <c r="J66" i="10" s="1"/>
  <c r="G93" i="6"/>
  <c r="L45" i="10" s="1" a="1"/>
  <c r="L45" i="10" s="1"/>
  <c r="J45" i="10" s="1"/>
  <c r="G83" i="3"/>
  <c r="G95" i="6" s="1"/>
  <c r="J49" i="10"/>
  <c r="J21" i="10"/>
  <c r="L38" i="10" l="1" a="1"/>
  <c r="L38" i="10" s="1"/>
  <c r="J38" i="10" s="1"/>
  <c r="C5" i="11" a="1"/>
  <c r="C5" i="11" s="1"/>
  <c r="L40" i="10" a="1"/>
  <c r="L40" i="10" s="1"/>
  <c r="J40" i="10" s="1"/>
  <c r="L5" i="10" a="1"/>
  <c r="L5" i="10" s="1"/>
  <c r="J5" i="10" s="1"/>
  <c r="L39" i="10" a="1"/>
  <c r="L39" i="10" s="1"/>
  <c r="J39" i="10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<sst xmlns="http://schemas.openxmlformats.org/spreadsheetml/2006/main" count="857" uniqueCount="249">
  <si>
    <t>IMPOSTAZIONI GENERALI</t>
  </si>
  <si>
    <t>Category:</t>
  </si>
  <si>
    <t>2x2 MEN</t>
  </si>
  <si>
    <t>Inizio giornata sabato</t>
  </si>
  <si>
    <t>Groups</t>
  </si>
  <si>
    <t>AGENCY</t>
  </si>
  <si>
    <t>TEAM</t>
  </si>
  <si>
    <t>PLAYERS</t>
  </si>
  <si>
    <t>A</t>
  </si>
  <si>
    <t>B</t>
  </si>
  <si>
    <t>C</t>
  </si>
  <si>
    <t>D</t>
  </si>
  <si>
    <t>E</t>
  </si>
  <si>
    <t>Durata ciclo</t>
  </si>
  <si>
    <t>minuti</t>
  </si>
  <si>
    <t>EUIPO</t>
  </si>
  <si>
    <t>GURRIERI ROSARIO</t>
  </si>
  <si>
    <t>ROMERO JULIAN</t>
  </si>
  <si>
    <t>Bacalhau&amp;porchetta</t>
  </si>
  <si>
    <t>EFSA 1</t>
  </si>
  <si>
    <t>Inizio semifinali</t>
  </si>
  <si>
    <t>CORRADO ALESSANDRO</t>
  </si>
  <si>
    <t>BILLERAULT AURELIEN</t>
  </si>
  <si>
    <t>Chill-out</t>
  </si>
  <si>
    <t>Ballbreakers</t>
  </si>
  <si>
    <t>DP's</t>
  </si>
  <si>
    <t>Dunaj &amp; Wisla</t>
  </si>
  <si>
    <t>Inizio finali</t>
  </si>
  <si>
    <t>FRONTEX</t>
  </si>
  <si>
    <t>Mateusz Rudzik</t>
  </si>
  <si>
    <t>Mariusz Dzierżawski</t>
  </si>
  <si>
    <t>EFSA 2</t>
  </si>
  <si>
    <t>I transalpini</t>
  </si>
  <si>
    <t>JRC 3</t>
  </si>
  <si>
    <t>Valletta's Tritons</t>
  </si>
  <si>
    <t>Oliver Bosnar</t>
  </si>
  <si>
    <t>Michal Narojek</t>
  </si>
  <si>
    <t>Filipe Paisana</t>
  </si>
  <si>
    <t>Georgios Dimitropoulos</t>
  </si>
  <si>
    <t>Radovan Kyselica</t>
  </si>
  <si>
    <t>Dariusz Neuhoff von der Ley</t>
  </si>
  <si>
    <t>EUROJUST</t>
  </si>
  <si>
    <t>Seixas Joao</t>
  </si>
  <si>
    <t xml:space="preserve">Bonato Stefano </t>
  </si>
  <si>
    <t>Calendar</t>
  </si>
  <si>
    <t>EFSA</t>
  </si>
  <si>
    <t>Marchesini Matteo</t>
  </si>
  <si>
    <t>Ackerl Reinhard</t>
  </si>
  <si>
    <t>Torneo</t>
  </si>
  <si>
    <t>Group</t>
  </si>
  <si>
    <t>Team1</t>
  </si>
  <si>
    <t xml:space="preserve"> Team 2</t>
  </si>
  <si>
    <t>Court</t>
  </si>
  <si>
    <t>Date</t>
  </si>
  <si>
    <t>Time</t>
  </si>
  <si>
    <t>Ferri Alessandro</t>
  </si>
  <si>
    <t>Marinelli Andrea</t>
  </si>
  <si>
    <t>2x2M</t>
  </si>
  <si>
    <t>EMA</t>
  </si>
  <si>
    <t>Frank Pétavy</t>
  </si>
  <si>
    <t>Thibaut Sauces</t>
  </si>
  <si>
    <t>Evangelos Kotzagiorgis</t>
  </si>
  <si>
    <t>Alex Gentimis</t>
  </si>
  <si>
    <t>EUAA</t>
  </si>
  <si>
    <t>Vasileios</t>
  </si>
  <si>
    <t>Wade</t>
  </si>
  <si>
    <t>JRC</t>
  </si>
  <si>
    <t>Daniele</t>
  </si>
  <si>
    <t>Fabio</t>
  </si>
  <si>
    <t>Roberto</t>
  </si>
  <si>
    <t>Carlo</t>
  </si>
  <si>
    <t>2x2 WOMEN</t>
  </si>
  <si>
    <t>ITAegean</t>
  </si>
  <si>
    <t>Evgenia Kalogeropoulou</t>
  </si>
  <si>
    <t>Anna Sofia Messeri</t>
  </si>
  <si>
    <t>MURO !</t>
  </si>
  <si>
    <t>FedAle</t>
  </si>
  <si>
    <t>Natalia Alberska</t>
  </si>
  <si>
    <t>Anna Jaroszuk</t>
  </si>
  <si>
    <t>EFSA 7</t>
  </si>
  <si>
    <t>Blue Lagoon Spritz</t>
  </si>
  <si>
    <t>Aleksandra Wajda</t>
  </si>
  <si>
    <t>Federica Ferrari</t>
  </si>
  <si>
    <t>Pastizzi Patrol</t>
  </si>
  <si>
    <t>Barrakka Gardeners</t>
  </si>
  <si>
    <t>EUROPOL F</t>
  </si>
  <si>
    <r>
      <rPr>
        <sz val="11"/>
        <color theme="1"/>
        <rFont val="Century Gothic"/>
      </rPr>
      <t>Nanook</t>
    </r>
    <r>
      <rPr>
        <sz val="11"/>
        <color theme="1"/>
        <rFont val="Aptos Narrow"/>
      </rPr>
      <t xml:space="preserve"> </t>
    </r>
  </si>
  <si>
    <t>Conti Lucia</t>
  </si>
  <si>
    <t>Klayn Aglika</t>
  </si>
  <si>
    <t>Kralova Irena</t>
  </si>
  <si>
    <t>Pecoraro Simona</t>
  </si>
  <si>
    <t>Claudia</t>
  </si>
  <si>
    <t>Tania</t>
  </si>
  <si>
    <t>Daniela</t>
  </si>
  <si>
    <t>Raquel</t>
  </si>
  <si>
    <t>Filothei</t>
  </si>
  <si>
    <t>Maria</t>
  </si>
  <si>
    <t>EUROPOL</t>
  </si>
  <si>
    <t>Stanciu Anca</t>
  </si>
  <si>
    <t>Rausch Laura</t>
  </si>
  <si>
    <t>Boba</t>
  </si>
  <si>
    <t>Federica R.</t>
  </si>
  <si>
    <t>Elisa B.</t>
  </si>
  <si>
    <t>Ilaria</t>
  </si>
  <si>
    <t>2x2F</t>
  </si>
  <si>
    <t xml:space="preserve">Category: </t>
  </si>
  <si>
    <t>2x2 MIX</t>
  </si>
  <si>
    <t>F</t>
  </si>
  <si>
    <t>EUIPO 3</t>
  </si>
  <si>
    <t>CSENKE JUDIT</t>
  </si>
  <si>
    <t>EUIPO 4</t>
  </si>
  <si>
    <t>Copacabana</t>
  </si>
  <si>
    <t>Keto</t>
  </si>
  <si>
    <t>Jellybeans</t>
  </si>
  <si>
    <t>Volare oooh</t>
  </si>
  <si>
    <t>Paddington</t>
  </si>
  <si>
    <t>The Lambrusco Paradox</t>
  </si>
  <si>
    <t>From Tokyo to The Hague</t>
  </si>
  <si>
    <t>EFSA 3</t>
  </si>
  <si>
    <t>EFSA 4</t>
  </si>
  <si>
    <t>EFSA 5</t>
  </si>
  <si>
    <t>Monika Ciesielska</t>
  </si>
  <si>
    <t xml:space="preserve">Ooh la la </t>
  </si>
  <si>
    <t>Mdina Defenders</t>
  </si>
  <si>
    <t>Ftira Fellowship</t>
  </si>
  <si>
    <t>EUROPOL MIX</t>
  </si>
  <si>
    <t>BBB</t>
  </si>
  <si>
    <t>Sandstormers</t>
  </si>
  <si>
    <t>Sandbox players</t>
  </si>
  <si>
    <t>ECDC</t>
  </si>
  <si>
    <t>Ionut Sava</t>
  </si>
  <si>
    <t>2x2 Mix</t>
  </si>
  <si>
    <t>Marchese Emanuela</t>
  </si>
  <si>
    <t>Valentina Cordo</t>
  </si>
  <si>
    <t>Caroline Pothet</t>
  </si>
  <si>
    <t>Mihaela Pereteatcu</t>
  </si>
  <si>
    <t>Serra Jose Manuel de Jesus</t>
  </si>
  <si>
    <t>REA</t>
  </si>
  <si>
    <t>Scioni Barbara</t>
  </si>
  <si>
    <t xml:space="preserve">Napolitano Andrea </t>
  </si>
  <si>
    <t xml:space="preserve">Piiroja Ivi </t>
  </si>
  <si>
    <t xml:space="preserve">Paunovic Ogren </t>
  </si>
  <si>
    <t>Flavio</t>
  </si>
  <si>
    <t>Giovanni</t>
  </si>
  <si>
    <t>4x4 MIX</t>
  </si>
  <si>
    <t>EUIPO 5</t>
  </si>
  <si>
    <t>Dandy Dandelions</t>
  </si>
  <si>
    <t>Aperol</t>
  </si>
  <si>
    <t>Ferwanek</t>
  </si>
  <si>
    <t>Sometimes maybe good</t>
  </si>
  <si>
    <t>EFSA 6</t>
  </si>
  <si>
    <t>EUAA Comets</t>
  </si>
  <si>
    <t>Mela Blinders</t>
  </si>
  <si>
    <t>EUROPOL 4 MIX</t>
  </si>
  <si>
    <t>Horizon setters</t>
  </si>
  <si>
    <t>REALL</t>
  </si>
  <si>
    <t>Jakub Banka</t>
  </si>
  <si>
    <t>Claudiu Chirias</t>
  </si>
  <si>
    <t>Damian Krzak</t>
  </si>
  <si>
    <t>Jori Tyni</t>
  </si>
  <si>
    <t>Anna Isabel</t>
  </si>
  <si>
    <t>Valeria</t>
  </si>
  <si>
    <t>ANTONELLI Margherita</t>
  </si>
  <si>
    <t xml:space="preserve">Deniz Javier </t>
  </si>
  <si>
    <t xml:space="preserve">Medarova Keti </t>
  </si>
  <si>
    <t xml:space="preserve">Amedja Ecki </t>
  </si>
  <si>
    <t>Michela</t>
  </si>
  <si>
    <t>Silvio</t>
  </si>
  <si>
    <t>4x4Mix</t>
  </si>
  <si>
    <t>Semi</t>
  </si>
  <si>
    <t>Team 1</t>
  </si>
  <si>
    <t>Team 2</t>
  </si>
  <si>
    <t>2x2 M</t>
  </si>
  <si>
    <t>2x2 F</t>
  </si>
  <si>
    <t>4x4 Mix</t>
  </si>
  <si>
    <t>Giocatore 1</t>
  </si>
  <si>
    <t>Giocatore 2</t>
  </si>
  <si>
    <t>Giocatore 3</t>
  </si>
  <si>
    <t>Giocatore 4</t>
  </si>
  <si>
    <t>Giocatore 5</t>
  </si>
  <si>
    <t>Giocatore 6</t>
  </si>
  <si>
    <t>Giocatore 7</t>
  </si>
  <si>
    <t>Giocatore 8</t>
  </si>
  <si>
    <t>JRC 12</t>
  </si>
  <si>
    <t>Diana</t>
  </si>
  <si>
    <t>Score</t>
  </si>
  <si>
    <t>Games played</t>
  </si>
  <si>
    <t>Tied</t>
  </si>
  <si>
    <t>Points won</t>
  </si>
  <si>
    <t>Points lost</t>
  </si>
  <si>
    <t>Points quotient</t>
  </si>
  <si>
    <t>Group A</t>
  </si>
  <si>
    <t>Group B</t>
  </si>
  <si>
    <t>Group C</t>
  </si>
  <si>
    <t>Group D</t>
  </si>
  <si>
    <t>Group E</t>
  </si>
  <si>
    <t>Group F</t>
  </si>
  <si>
    <t>Wins</t>
  </si>
  <si>
    <t>Losses</t>
  </si>
  <si>
    <t>Federica Foti</t>
  </si>
  <si>
    <t>Ciprian Istudor</t>
  </si>
  <si>
    <t>Name</t>
  </si>
  <si>
    <t>Federica C.</t>
  </si>
  <si>
    <t>JRC Energy dense</t>
  </si>
  <si>
    <t>3-4 Finals</t>
  </si>
  <si>
    <t>Referee</t>
  </si>
  <si>
    <t>1-2 Finals</t>
  </si>
  <si>
    <t>Tom</t>
  </si>
  <si>
    <t>Ticino e Carbonara</t>
  </si>
  <si>
    <t>Giocatore 9</t>
  </si>
  <si>
    <t>Giocatore 10</t>
  </si>
  <si>
    <t>Disaqueens</t>
  </si>
  <si>
    <t>Team 1 players</t>
  </si>
  <si>
    <t>Team 2 players</t>
  </si>
  <si>
    <t>Giocatore 11</t>
  </si>
  <si>
    <t>Giocatore 12</t>
  </si>
  <si>
    <t>Upsand Down</t>
  </si>
  <si>
    <t>Too hot for indoor</t>
  </si>
  <si>
    <t>Che fastidio</t>
  </si>
  <si>
    <t>Group winner
3rd best ranked team</t>
  </si>
  <si>
    <t>Best second of the groups</t>
  </si>
  <si>
    <t>Group winner
4th best ranked team</t>
  </si>
  <si>
    <t>Group winner
5th best ranked team</t>
  </si>
  <si>
    <t>Group winner
1st best ranked team</t>
  </si>
  <si>
    <t>Group winner
2nd best ranked team</t>
  </si>
  <si>
    <t>FINALS</t>
  </si>
  <si>
    <t>Winner of the first playoff</t>
  </si>
  <si>
    <t>Winner of the second playoff</t>
  </si>
  <si>
    <t>First finalist</t>
  </si>
  <si>
    <t>Second finalist</t>
  </si>
  <si>
    <t>Winner</t>
  </si>
  <si>
    <t>SEMIFINALS</t>
  </si>
  <si>
    <t>Goup winner
2nd best ranked team</t>
  </si>
  <si>
    <t>Group winner
6th best ranked team</t>
  </si>
  <si>
    <t>Playoffs</t>
  </si>
  <si>
    <t>Europol 2x2 men</t>
  </si>
  <si>
    <t>Gianmarcoooo</t>
  </si>
  <si>
    <t>Sand by me</t>
  </si>
  <si>
    <t>Que farà Farà</t>
  </si>
  <si>
    <t>Federica Ferretti</t>
  </si>
  <si>
    <t>Beach control</t>
  </si>
  <si>
    <t>Balkan Beach Ballers</t>
  </si>
  <si>
    <t>House of Medici</t>
  </si>
  <si>
    <t>Mauro Gabbarini</t>
  </si>
  <si>
    <t>team 1 agency</t>
  </si>
  <si>
    <t>team 2 agency</t>
  </si>
  <si>
    <t>Agency</t>
  </si>
  <si>
    <t>Se non spigoli non vale</t>
  </si>
  <si>
    <t>Tournament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</si>
</sst>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\.mm\.ss"/>
    <numFmt numFmtId="165" formatCode="d/m/yyyy"/>
    <numFmt numFmtId="166" formatCode="h&quot;:&quot;mm&quot;: &quot;"/>
    <numFmt numFmtId="167" formatCode="[$-F400]h:mm:ss\ AM/PM"/>
  </numFmts>
  <fonts count="1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name val="Aptos Narrow"/>
    </font>
    <font>
      <sz val="11"/>
      <color theme="1"/>
      <name val="Century Gothic"/>
    </font>
    <font>
      <sz val="11"/>
      <color theme="1"/>
      <name val="Arial"/>
    </font>
    <font>
      <b/>
      <sz val="11"/>
      <color theme="1"/>
      <name val="Century Gothic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Century Gothic"/>
      <family val="2"/>
    </font>
    <font>
      <sz val="8"/>
      <name val="Aptos Narrow"/>
      <family val="2"/>
      <scheme val="minor"/>
    </font>
    <font>
      <b/>
      <sz val="16"/>
      <color theme="1"/>
      <name val="Aptos Narrow"/>
      <family val="2"/>
    </font>
    <font>
      <b/>
      <sz val="16"/>
      <color theme="1"/>
      <name val="Aptos Narrow"/>
      <family val="2"/>
      <scheme val="minor"/>
    </font>
    <font>
      <b/>
      <sz val="18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CAEDFB"/>
        <bgColor rgb="FFCAEDFB"/>
      </patternFill>
    </fill>
    <fill>
      <patternFill patternType="solid">
        <fgColor rgb="FFFFFF00"/>
        <bgColor rgb="FFFFFF00"/>
      </patternFill>
    </fill>
    <fill>
      <patternFill patternType="solid">
        <fgColor rgb="FFD9F2D0"/>
        <bgColor rgb="FFD9F2D0"/>
      </patternFill>
    </fill>
    <fill>
      <patternFill patternType="solid">
        <fgColor rgb="FFF1CEEE"/>
        <bgColor rgb="FFF1CEE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4" fillId="0" borderId="0" xfId="0" applyFont="1"/>
    <xf numFmtId="164" fontId="2" fillId="2" borderId="0" xfId="0" applyNumberFormat="1" applyFont="1" applyFill="1" applyAlignment="1"/>
    <xf numFmtId="0" fontId="5" fillId="0" borderId="0" xfId="0" applyFont="1" applyAlignment="1">
      <alignment horizontal="center"/>
    </xf>
    <xf numFmtId="0" fontId="2" fillId="2" borderId="0" xfId="0" applyFont="1" applyFill="1" applyAlignment="1"/>
    <xf numFmtId="0" fontId="7" fillId="0" borderId="1" xfId="0" applyFont="1" applyBorder="1"/>
    <xf numFmtId="0" fontId="7" fillId="0" borderId="0" xfId="0" applyFont="1" applyAlignment="1">
      <alignment horizontal="center"/>
    </xf>
    <xf numFmtId="0" fontId="7" fillId="0" borderId="0" xfId="0" applyFont="1"/>
    <xf numFmtId="0" fontId="5" fillId="0" borderId="1" xfId="0" applyFont="1" applyBorder="1"/>
    <xf numFmtId="165" fontId="5" fillId="0" borderId="0" xfId="0" applyNumberFormat="1" applyFont="1"/>
    <xf numFmtId="167" fontId="5" fillId="0" borderId="0" xfId="0" applyNumberFormat="1" applyFont="1"/>
    <xf numFmtId="0" fontId="4" fillId="6" borderId="1" xfId="0" applyFont="1" applyFill="1" applyBorder="1"/>
    <xf numFmtId="0" fontId="3" fillId="0" borderId="1" xfId="0" applyFont="1" applyBorder="1"/>
    <xf numFmtId="0" fontId="2" fillId="0" borderId="1" xfId="0" applyFont="1" applyBorder="1" applyAlignment="1"/>
    <xf numFmtId="164" fontId="3" fillId="0" borderId="1" xfId="0" applyNumberFormat="1" applyFont="1" applyBorder="1"/>
    <xf numFmtId="0" fontId="7" fillId="0" borderId="0" xfId="0" applyFont="1" applyBorder="1"/>
    <xf numFmtId="0" fontId="7" fillId="0" borderId="5" xfId="0" applyFont="1" applyBorder="1"/>
    <xf numFmtId="0" fontId="5" fillId="0" borderId="5" xfId="0" applyFont="1" applyBorder="1"/>
    <xf numFmtId="0" fontId="7" fillId="0" borderId="5" xfId="0" applyFont="1" applyBorder="1" applyAlignment="1">
      <alignment horizontal="center"/>
    </xf>
    <xf numFmtId="165" fontId="5" fillId="0" borderId="5" xfId="0" applyNumberFormat="1" applyFont="1" applyBorder="1"/>
    <xf numFmtId="14" fontId="5" fillId="0" borderId="5" xfId="0" applyNumberFormat="1" applyFont="1" applyBorder="1"/>
    <xf numFmtId="0" fontId="7" fillId="0" borderId="0" xfId="0" applyFont="1" applyBorder="1" applyAlignment="1">
      <alignment vertical="center"/>
    </xf>
    <xf numFmtId="0" fontId="0" fillId="0" borderId="5" xfId="0" applyFont="1" applyBorder="1" applyAlignment="1"/>
    <xf numFmtId="0" fontId="7" fillId="0" borderId="5" xfId="0" applyFont="1" applyBorder="1" applyAlignment="1">
      <alignment vertical="center"/>
    </xf>
    <xf numFmtId="0" fontId="11" fillId="0" borderId="0" xfId="0" applyFont="1" applyAlignment="1"/>
    <xf numFmtId="0" fontId="10" fillId="0" borderId="7" xfId="0" applyFont="1" applyBorder="1" applyAlignment="1"/>
    <xf numFmtId="0" fontId="0" fillId="0" borderId="8" xfId="0" applyFont="1" applyBorder="1" applyAlignment="1"/>
    <xf numFmtId="0" fontId="10" fillId="0" borderId="9" xfId="0" applyFont="1" applyBorder="1" applyAlignment="1"/>
    <xf numFmtId="0" fontId="10" fillId="0" borderId="6" xfId="0" applyFont="1" applyBorder="1" applyAlignment="1"/>
    <xf numFmtId="0" fontId="10" fillId="0" borderId="10" xfId="0" applyFont="1" applyBorder="1" applyAlignment="1"/>
    <xf numFmtId="0" fontId="10" fillId="0" borderId="11" xfId="0" applyFont="1" applyBorder="1" applyAlignment="1"/>
    <xf numFmtId="0" fontId="0" fillId="0" borderId="12" xfId="0" applyFont="1" applyBorder="1" applyAlignment="1"/>
    <xf numFmtId="0" fontId="0" fillId="0" borderId="13" xfId="0" applyFont="1" applyBorder="1" applyAlignment="1"/>
    <xf numFmtId="0" fontId="10" fillId="0" borderId="0" xfId="0" applyFont="1" applyBorder="1" applyAlignment="1"/>
    <xf numFmtId="0" fontId="0" fillId="0" borderId="0" xfId="0" applyFont="1" applyBorder="1" applyAlignment="1"/>
    <xf numFmtId="0" fontId="5" fillId="0" borderId="0" xfId="0" applyFont="1" applyAlignment="1"/>
    <xf numFmtId="166" fontId="8" fillId="0" borderId="0" xfId="0" applyNumberFormat="1" applyFont="1" applyBorder="1" applyAlignment="1"/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7" xfId="0" applyFont="1" applyBorder="1"/>
    <xf numFmtId="0" fontId="7" fillId="0" borderId="18" xfId="0" applyFont="1" applyBorder="1"/>
    <xf numFmtId="0" fontId="7" fillId="0" borderId="19" xfId="0" applyFont="1" applyBorder="1"/>
    <xf numFmtId="0" fontId="7" fillId="0" borderId="20" xfId="0" applyFont="1" applyBorder="1"/>
    <xf numFmtId="0" fontId="7" fillId="0" borderId="21" xfId="0" applyFont="1" applyBorder="1"/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0" fillId="0" borderId="0" xfId="0" applyFont="1" applyAlignment="1"/>
    <xf numFmtId="0" fontId="12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20" xfId="0" applyFont="1" applyBorder="1" applyAlignment="1"/>
    <xf numFmtId="0" fontId="0" fillId="0" borderId="21" xfId="0" applyFont="1" applyBorder="1" applyAlignment="1"/>
    <xf numFmtId="0" fontId="7" fillId="0" borderId="14" xfId="0" applyFont="1" applyBorder="1"/>
    <xf numFmtId="0" fontId="7" fillId="0" borderId="15" xfId="0" applyFont="1" applyBorder="1"/>
    <xf numFmtId="0" fontId="7" fillId="0" borderId="15" xfId="0" applyFont="1" applyBorder="1" applyAlignment="1">
      <alignment horizontal="center"/>
    </xf>
    <xf numFmtId="0" fontId="3" fillId="0" borderId="15" xfId="0" applyFont="1" applyBorder="1"/>
    <xf numFmtId="0" fontId="0" fillId="0" borderId="15" xfId="0" applyFont="1" applyBorder="1" applyAlignment="1"/>
    <xf numFmtId="0" fontId="0" fillId="0" borderId="16" xfId="0" applyFont="1" applyBorder="1" applyAlignment="1"/>
    <xf numFmtId="0" fontId="0" fillId="0" borderId="18" xfId="0" applyFont="1" applyBorder="1" applyAlignment="1"/>
    <xf numFmtId="0" fontId="0" fillId="0" borderId="5" xfId="0" applyFont="1" applyBorder="1" applyAlignment="1">
      <alignment horizontal="center"/>
    </xf>
    <xf numFmtId="0" fontId="0" fillId="0" borderId="0" xfId="0" applyFont="1" applyAlignment="1"/>
    <xf numFmtId="165" fontId="5" fillId="0" borderId="20" xfId="0" applyNumberFormat="1" applyFont="1" applyBorder="1"/>
    <xf numFmtId="0" fontId="5" fillId="0" borderId="14" xfId="0" applyFont="1" applyBorder="1"/>
    <xf numFmtId="0" fontId="7" fillId="0" borderId="15" xfId="0" applyFont="1" applyBorder="1" applyAlignment="1">
      <alignment vertical="center"/>
    </xf>
    <xf numFmtId="0" fontId="5" fillId="0" borderId="15" xfId="0" applyFont="1" applyBorder="1"/>
    <xf numFmtId="0" fontId="5" fillId="0" borderId="17" xfId="0" applyFont="1" applyBorder="1"/>
    <xf numFmtId="0" fontId="5" fillId="0" borderId="19" xfId="0" applyFont="1" applyBorder="1"/>
    <xf numFmtId="0" fontId="5" fillId="0" borderId="20" xfId="0" applyFont="1" applyBorder="1"/>
    <xf numFmtId="167" fontId="0" fillId="0" borderId="0" xfId="0" applyNumberFormat="1" applyFont="1" applyAlignment="1"/>
    <xf numFmtId="167" fontId="8" fillId="0" borderId="5" xfId="0" applyNumberFormat="1" applyFont="1" applyBorder="1" applyAlignment="1"/>
    <xf numFmtId="167" fontId="8" fillId="0" borderId="20" xfId="0" applyNumberFormat="1" applyFont="1" applyBorder="1" applyAlignment="1"/>
    <xf numFmtId="2" fontId="0" fillId="0" borderId="0" xfId="0" applyNumberFormat="1" applyFont="1" applyAlignment="1"/>
    <xf numFmtId="0" fontId="0" fillId="0" borderId="0" xfId="0" applyFont="1" applyAlignment="1"/>
    <xf numFmtId="0" fontId="0" fillId="0" borderId="0" xfId="0" applyFont="1" applyAlignment="1"/>
    <xf numFmtId="0" fontId="14" fillId="0" borderId="1" xfId="0" applyFont="1" applyFill="1" applyBorder="1"/>
    <xf numFmtId="0" fontId="14" fillId="0" borderId="1" xfId="0" applyFont="1" applyBorder="1"/>
    <xf numFmtId="0" fontId="7" fillId="0" borderId="1" xfId="0" applyFont="1" applyFill="1" applyBorder="1"/>
    <xf numFmtId="0" fontId="0" fillId="7" borderId="0" xfId="0" applyFont="1" applyFill="1" applyAlignment="1"/>
    <xf numFmtId="0" fontId="0" fillId="8" borderId="0" xfId="0" applyFont="1" applyFill="1" applyAlignment="1"/>
    <xf numFmtId="0" fontId="0" fillId="9" borderId="0" xfId="0" applyFont="1" applyFill="1" applyAlignment="1"/>
    <xf numFmtId="167" fontId="0" fillId="9" borderId="0" xfId="0" applyNumberFormat="1" applyFont="1" applyFill="1" applyAlignment="1"/>
    <xf numFmtId="0" fontId="0" fillId="9" borderId="5" xfId="0" applyFont="1" applyFill="1" applyBorder="1" applyAlignment="1"/>
    <xf numFmtId="167" fontId="0" fillId="9" borderId="5" xfId="0" applyNumberFormat="1" applyFont="1" applyFill="1" applyBorder="1" applyAlignment="1"/>
    <xf numFmtId="0" fontId="0" fillId="8" borderId="5" xfId="0" applyFont="1" applyFill="1" applyBorder="1" applyAlignment="1"/>
    <xf numFmtId="0" fontId="4" fillId="9" borderId="5" xfId="0" applyFont="1" applyFill="1" applyBorder="1"/>
    <xf numFmtId="0" fontId="9" fillId="9" borderId="5" xfId="0" applyFont="1" applyFill="1" applyBorder="1"/>
    <xf numFmtId="0" fontId="9" fillId="9" borderId="5" xfId="0" applyFont="1" applyFill="1" applyBorder="1" applyAlignment="1">
      <alignment horizontal="center"/>
    </xf>
    <xf numFmtId="167" fontId="4" fillId="9" borderId="5" xfId="0" applyNumberFormat="1" applyFont="1" applyFill="1" applyBorder="1"/>
    <xf numFmtId="0" fontId="4" fillId="7" borderId="5" xfId="0" applyFont="1" applyFill="1" applyBorder="1"/>
    <xf numFmtId="0" fontId="4" fillId="8" borderId="5" xfId="0" applyFont="1" applyFill="1" applyBorder="1"/>
    <xf numFmtId="0" fontId="3" fillId="9" borderId="5" xfId="0" applyFont="1" applyFill="1" applyBorder="1"/>
    <xf numFmtId="165" fontId="5" fillId="9" borderId="5" xfId="0" applyNumberFormat="1" applyFont="1" applyFill="1" applyBorder="1"/>
    <xf numFmtId="167" fontId="5" fillId="9" borderId="5" xfId="0" applyNumberFormat="1" applyFont="1" applyFill="1" applyBorder="1"/>
    <xf numFmtId="0" fontId="3" fillId="7" borderId="5" xfId="0" applyFont="1" applyFill="1" applyBorder="1"/>
    <xf numFmtId="0" fontId="3" fillId="8" borderId="5" xfId="0" applyFont="1" applyFill="1" applyBorder="1"/>
    <xf numFmtId="14" fontId="5" fillId="0" borderId="20" xfId="0" applyNumberFormat="1" applyFont="1" applyBorder="1"/>
    <xf numFmtId="0" fontId="7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14" fillId="0" borderId="5" xfId="0" applyFont="1" applyFill="1" applyBorder="1" applyAlignment="1">
      <alignment wrapText="1"/>
    </xf>
    <xf numFmtId="0" fontId="0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7" fillId="0" borderId="27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4" fillId="0" borderId="1" xfId="0" applyFont="1" applyFill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7" borderId="32" xfId="0" applyFont="1" applyFill="1" applyBorder="1" applyAlignment="1">
      <alignment wrapText="1"/>
    </xf>
    <xf numFmtId="0" fontId="0" fillId="8" borderId="32" xfId="0" applyFont="1" applyFill="1" applyBorder="1" applyAlignment="1">
      <alignment wrapText="1"/>
    </xf>
    <xf numFmtId="0" fontId="0" fillId="10" borderId="32" xfId="0" applyFont="1" applyFill="1" applyBorder="1" applyAlignment="1">
      <alignment wrapText="1"/>
    </xf>
    <xf numFmtId="0" fontId="0" fillId="10" borderId="32" xfId="0" applyFont="1" applyFill="1" applyBorder="1" applyAlignment="1"/>
    <xf numFmtId="0" fontId="0" fillId="11" borderId="32" xfId="0" applyFont="1" applyFill="1" applyBorder="1" applyAlignment="1">
      <alignment wrapText="1"/>
    </xf>
    <xf numFmtId="0" fontId="0" fillId="12" borderId="32" xfId="0" applyFont="1" applyFill="1" applyBorder="1" applyAlignment="1"/>
    <xf numFmtId="0" fontId="0" fillId="0" borderId="32" xfId="0" applyFont="1" applyBorder="1" applyAlignment="1">
      <alignment vertical="center" wrapText="1"/>
    </xf>
    <xf numFmtId="0" fontId="7" fillId="0" borderId="20" xfId="0" applyFont="1" applyBorder="1" applyAlignment="1">
      <alignment wrapText="1"/>
    </xf>
    <xf numFmtId="0" fontId="0" fillId="7" borderId="5" xfId="0" applyFont="1" applyFill="1" applyBorder="1" applyAlignment="1"/>
    <xf numFmtId="0" fontId="5" fillId="0" borderId="5" xfId="0" applyFont="1" applyFill="1" applyBorder="1"/>
    <xf numFmtId="0" fontId="5" fillId="0" borderId="20" xfId="0" applyFont="1" applyFill="1" applyBorder="1"/>
    <xf numFmtId="0" fontId="7" fillId="0" borderId="5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3" fillId="0" borderId="18" xfId="0" applyFont="1" applyBorder="1"/>
    <xf numFmtId="0" fontId="0" fillId="0" borderId="33" xfId="0" applyFont="1" applyBorder="1" applyAlignment="1"/>
    <xf numFmtId="0" fontId="0" fillId="0" borderId="7" xfId="0" applyFont="1" applyBorder="1" applyAlignment="1"/>
    <xf numFmtId="0" fontId="0" fillId="0" borderId="34" xfId="0" applyFont="1" applyBorder="1" applyAlignment="1"/>
    <xf numFmtId="0" fontId="2" fillId="0" borderId="7" xfId="0" applyFont="1" applyBorder="1" applyAlignment="1"/>
    <xf numFmtId="0" fontId="7" fillId="0" borderId="17" xfId="0" applyFont="1" applyBorder="1" applyAlignment="1">
      <alignment horizontal="center" wrapText="1"/>
    </xf>
    <xf numFmtId="0" fontId="7" fillId="0" borderId="19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5" fillId="0" borderId="20" xfId="0" applyFont="1" applyBorder="1" applyAlignment="1">
      <alignment horizontal="center" wrapText="1"/>
    </xf>
    <xf numFmtId="0" fontId="5" fillId="0" borderId="21" xfId="0" applyFont="1" applyBorder="1" applyAlignment="1">
      <alignment wrapText="1"/>
    </xf>
    <xf numFmtId="0" fontId="14" fillId="0" borderId="5" xfId="0" applyFont="1" applyBorder="1"/>
    <xf numFmtId="0" fontId="4" fillId="3" borderId="14" xfId="0" applyFont="1" applyFill="1" applyBorder="1"/>
    <xf numFmtId="0" fontId="4" fillId="3" borderId="16" xfId="0" applyFont="1" applyFill="1" applyBorder="1"/>
    <xf numFmtId="0" fontId="14" fillId="0" borderId="17" xfId="0" applyFont="1" applyBorder="1"/>
    <xf numFmtId="0" fontId="13" fillId="0" borderId="18" xfId="0" applyFont="1" applyBorder="1"/>
    <xf numFmtId="0" fontId="5" fillId="0" borderId="18" xfId="0" applyFont="1" applyBorder="1"/>
    <xf numFmtId="0" fontId="14" fillId="0" borderId="20" xfId="0" applyFont="1" applyFill="1" applyBorder="1"/>
    <xf numFmtId="0" fontId="5" fillId="0" borderId="21" xfId="0" applyFont="1" applyBorder="1"/>
    <xf numFmtId="0" fontId="4" fillId="4" borderId="14" xfId="0" applyFont="1" applyFill="1" applyBorder="1" applyAlignment="1">
      <alignment vertical="center"/>
    </xf>
    <xf numFmtId="0" fontId="4" fillId="4" borderId="16" xfId="0" applyFont="1" applyFill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0" fontId="4" fillId="5" borderId="36" xfId="0" applyFont="1" applyFill="1" applyBorder="1"/>
    <xf numFmtId="0" fontId="4" fillId="5" borderId="39" xfId="0" applyFont="1" applyFill="1" applyBorder="1"/>
    <xf numFmtId="0" fontId="7" fillId="0" borderId="40" xfId="0" applyFont="1" applyBorder="1"/>
    <xf numFmtId="0" fontId="5" fillId="0" borderId="41" xfId="0" applyFont="1" applyBorder="1"/>
    <xf numFmtId="0" fontId="14" fillId="0" borderId="42" xfId="0" applyFont="1" applyBorder="1"/>
    <xf numFmtId="0" fontId="7" fillId="0" borderId="43" xfId="0" applyFont="1" applyBorder="1"/>
    <xf numFmtId="167" fontId="0" fillId="9" borderId="32" xfId="0" applyNumberFormat="1" applyFont="1" applyFill="1" applyBorder="1" applyAlignment="1"/>
    <xf numFmtId="14" fontId="0" fillId="0" borderId="0" xfId="0" applyNumberFormat="1" applyFont="1" applyAlignment="1"/>
    <xf numFmtId="0" fontId="10" fillId="0" borderId="0" xfId="0" applyFont="1" applyAlignment="1"/>
    <xf numFmtId="14" fontId="10" fillId="0" borderId="0" xfId="0" applyNumberFormat="1" applyFont="1" applyAlignment="1"/>
    <xf numFmtId="167" fontId="10" fillId="0" borderId="0" xfId="0" applyNumberFormat="1" applyFont="1" applyAlignment="1"/>
    <xf numFmtId="0" fontId="13" fillId="0" borderId="1" xfId="0" applyFont="1" applyBorder="1"/>
    <xf numFmtId="0" fontId="13" fillId="0" borderId="18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0" fontId="14" fillId="0" borderId="40" xfId="0" applyFont="1" applyBorder="1"/>
    <xf numFmtId="0" fontId="13" fillId="0" borderId="41" xfId="0" applyFont="1" applyBorder="1"/>
    <xf numFmtId="0" fontId="13" fillId="0" borderId="44" xfId="0" applyFont="1" applyBorder="1"/>
    <xf numFmtId="0" fontId="18" fillId="0" borderId="0" xfId="0" applyFont="1" applyAlignment="1"/>
    <xf numFmtId="0" fontId="4" fillId="6" borderId="2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29" xfId="0" applyFont="1" applyBorder="1"/>
    <xf numFmtId="0" fontId="6" fillId="0" borderId="30" xfId="0" applyFont="1" applyBorder="1"/>
    <xf numFmtId="0" fontId="1" fillId="0" borderId="0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4" fillId="3" borderId="15" xfId="0" applyFont="1" applyFill="1" applyBorder="1" applyAlignment="1">
      <alignment horizontal="center" vertical="center"/>
    </xf>
    <xf numFmtId="0" fontId="6" fillId="0" borderId="15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4" fillId="4" borderId="15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0" fontId="17" fillId="0" borderId="0" xfId="0" applyFont="1" applyAlignment="1"/>
    <xf numFmtId="0" fontId="4" fillId="5" borderId="37" xfId="0" applyFont="1" applyFill="1" applyBorder="1" applyAlignment="1">
      <alignment horizontal="center" vertical="center"/>
    </xf>
    <xf numFmtId="0" fontId="6" fillId="0" borderId="38" xfId="0" applyFont="1" applyBorder="1"/>
    <xf numFmtId="0" fontId="0" fillId="0" borderId="35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0" fontId="0" fillId="8" borderId="5" xfId="0" applyFont="1" applyFill="1" applyBorder="1" applyAlignment="1"/>
    <xf numFmtId="0" fontId="13" fillId="7" borderId="5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3" xfId="0" applyFont="1" applyBorder="1"/>
  </cellXfs>
  <cellStyles count="1">
    <cellStyle name="Normal" xfId="0" builtinId="0"/>
  </cellStyles>
  <dxfs count="25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49</xdr:row>
      <xdr:rowOff>209550</xdr:rowOff>
    </xdr:from>
    <xdr:to>
      <xdr:col>2</xdr:col>
      <xdr:colOff>9525</xdr:colOff>
      <xdr:row>50</xdr:row>
      <xdr:rowOff>85725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C018ECB1-917A-034E-4531-2DC024EFEA6B}"/>
            </a:ext>
          </a:extLst>
        </xdr:cNvPr>
        <xdr:cNvCxnSpPr/>
      </xdr:nvCxnSpPr>
      <xdr:spPr>
        <a:xfrm>
          <a:off x="1295400" y="10191750"/>
          <a:ext cx="1733550" cy="314325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50</xdr:row>
      <xdr:rowOff>85725</xdr:rowOff>
    </xdr:from>
    <xdr:to>
      <xdr:col>2</xdr:col>
      <xdr:colOff>0</xdr:colOff>
      <xdr:row>51</xdr:row>
      <xdr:rowOff>215900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64CE8EE6-017B-4CC0-9738-1DA460A0F068}"/>
            </a:ext>
          </a:extLst>
        </xdr:cNvPr>
        <xdr:cNvCxnSpPr/>
      </xdr:nvCxnSpPr>
      <xdr:spPr>
        <a:xfrm flipV="1">
          <a:off x="1295400" y="10506075"/>
          <a:ext cx="1724025" cy="330200"/>
        </a:xfrm>
        <a:prstGeom prst="bentConnector3">
          <a:avLst>
            <a:gd name="adj1" fmla="val 5000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1283805</xdr:colOff>
      <xdr:row>53</xdr:row>
      <xdr:rowOff>173934</xdr:rowOff>
    </xdr:from>
    <xdr:to>
      <xdr:col>1</xdr:col>
      <xdr:colOff>1720851</xdr:colOff>
      <xdr:row>54</xdr:row>
      <xdr:rowOff>91521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4980EF2C-626A-477C-B44E-84215F8D344B}"/>
            </a:ext>
          </a:extLst>
        </xdr:cNvPr>
        <xdr:cNvCxnSpPr/>
      </xdr:nvCxnSpPr>
      <xdr:spPr>
        <a:xfrm>
          <a:off x="1283805" y="11405151"/>
          <a:ext cx="1729133" cy="315153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1283805</xdr:colOff>
      <xdr:row>54</xdr:row>
      <xdr:rowOff>91521</xdr:rowOff>
    </xdr:from>
    <xdr:to>
      <xdr:col>1</xdr:col>
      <xdr:colOff>1711326</xdr:colOff>
      <xdr:row>55</xdr:row>
      <xdr:rowOff>221697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B9B88A51-3C76-4B15-B49B-825EA284A608}"/>
            </a:ext>
          </a:extLst>
        </xdr:cNvPr>
        <xdr:cNvCxnSpPr/>
      </xdr:nvCxnSpPr>
      <xdr:spPr>
        <a:xfrm flipV="1">
          <a:off x="1283805" y="11720304"/>
          <a:ext cx="1719608" cy="328958"/>
        </a:xfrm>
        <a:prstGeom prst="bentConnector3">
          <a:avLst>
            <a:gd name="adj1" fmla="val 5000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6488</xdr:colOff>
      <xdr:row>47</xdr:row>
      <xdr:rowOff>208032</xdr:rowOff>
    </xdr:from>
    <xdr:to>
      <xdr:col>3</xdr:col>
      <xdr:colOff>1729271</xdr:colOff>
      <xdr:row>48</xdr:row>
      <xdr:rowOff>117337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9C608978-59E8-47E3-AF87-53CD781CA530}"/>
            </a:ext>
          </a:extLst>
        </xdr:cNvPr>
        <xdr:cNvCxnSpPr/>
      </xdr:nvCxnSpPr>
      <xdr:spPr>
        <a:xfrm>
          <a:off x="4520510" y="9575662"/>
          <a:ext cx="1722783" cy="315153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48</xdr:row>
      <xdr:rowOff>107674</xdr:rowOff>
    </xdr:from>
    <xdr:to>
      <xdr:col>3</xdr:col>
      <xdr:colOff>1838739</xdr:colOff>
      <xdr:row>50</xdr:row>
      <xdr:rowOff>102566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268CCDF4-4930-436B-BD5F-F5224703A0A6}"/>
            </a:ext>
          </a:extLst>
        </xdr:cNvPr>
        <xdr:cNvCxnSpPr/>
      </xdr:nvCxnSpPr>
      <xdr:spPr>
        <a:xfrm flipV="1">
          <a:off x="4514022" y="9881152"/>
          <a:ext cx="1838739" cy="632653"/>
        </a:xfrm>
        <a:prstGeom prst="bentConnector3">
          <a:avLst>
            <a:gd name="adj1" fmla="val 47744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54</xdr:row>
      <xdr:rowOff>102566</xdr:rowOff>
    </xdr:from>
    <xdr:to>
      <xdr:col>4</xdr:col>
      <xdr:colOff>24848</xdr:colOff>
      <xdr:row>55</xdr:row>
      <xdr:rowOff>223631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3554E49B-3CF4-44A5-83C0-793CF96C6C0F}"/>
            </a:ext>
          </a:extLst>
        </xdr:cNvPr>
        <xdr:cNvCxnSpPr/>
      </xdr:nvCxnSpPr>
      <xdr:spPr>
        <a:xfrm>
          <a:off x="4514022" y="11731349"/>
          <a:ext cx="1880152" cy="319847"/>
        </a:xfrm>
        <a:prstGeom prst="bentConnector3">
          <a:avLst>
            <a:gd name="adj1" fmla="val 46482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55</xdr:row>
      <xdr:rowOff>231913</xdr:rowOff>
    </xdr:from>
    <xdr:to>
      <xdr:col>3</xdr:col>
      <xdr:colOff>1838739</xdr:colOff>
      <xdr:row>57</xdr:row>
      <xdr:rowOff>134730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7122E36F-39C4-452C-BD79-269D58E3C51C}"/>
            </a:ext>
          </a:extLst>
        </xdr:cNvPr>
        <xdr:cNvCxnSpPr/>
      </xdr:nvCxnSpPr>
      <xdr:spPr>
        <a:xfrm flipV="1">
          <a:off x="4514022" y="12382500"/>
          <a:ext cx="1838739" cy="507447"/>
        </a:xfrm>
        <a:prstGeom prst="bentConnector3">
          <a:avLst>
            <a:gd name="adj1" fmla="val 5000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1860412</xdr:colOff>
      <xdr:row>48</xdr:row>
      <xdr:rowOff>87934</xdr:rowOff>
    </xdr:from>
    <xdr:to>
      <xdr:col>5</xdr:col>
      <xdr:colOff>1656522</xdr:colOff>
      <xdr:row>51</xdr:row>
      <xdr:rowOff>207065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F89D0B88-C7C2-467D-B534-27746A3C97AC}"/>
            </a:ext>
          </a:extLst>
        </xdr:cNvPr>
        <xdr:cNvCxnSpPr/>
      </xdr:nvCxnSpPr>
      <xdr:spPr>
        <a:xfrm>
          <a:off x="8229738" y="9861412"/>
          <a:ext cx="1676262" cy="1121327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51</xdr:row>
      <xdr:rowOff>198783</xdr:rowOff>
    </xdr:from>
    <xdr:to>
      <xdr:col>5</xdr:col>
      <xdr:colOff>1615109</xdr:colOff>
      <xdr:row>55</xdr:row>
      <xdr:rowOff>188567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BFD31227-A241-4B9C-A691-1E11A695D31D}"/>
            </a:ext>
          </a:extLst>
        </xdr:cNvPr>
        <xdr:cNvCxnSpPr/>
      </xdr:nvCxnSpPr>
      <xdr:spPr>
        <a:xfrm flipV="1">
          <a:off x="8249478" y="10974457"/>
          <a:ext cx="1615109" cy="1364697"/>
        </a:xfrm>
        <a:prstGeom prst="bentConnector3">
          <a:avLst>
            <a:gd name="adj1" fmla="val 5000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54</xdr:row>
      <xdr:rowOff>209550</xdr:rowOff>
    </xdr:from>
    <xdr:to>
      <xdr:col>0</xdr:col>
      <xdr:colOff>9525</xdr:colOff>
      <xdr:row>55</xdr:row>
      <xdr:rowOff>85725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8BDE8476-D0EF-4600-8273-5E0417F63B1C}"/>
            </a:ext>
          </a:extLst>
        </xdr:cNvPr>
        <xdr:cNvCxnSpPr/>
      </xdr:nvCxnSpPr>
      <xdr:spPr>
        <a:xfrm>
          <a:off x="1295400" y="10591800"/>
          <a:ext cx="1730375" cy="311150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6488</xdr:colOff>
      <xdr:row>52</xdr:row>
      <xdr:rowOff>208032</xdr:rowOff>
    </xdr:from>
    <xdr:to>
      <xdr:col>1</xdr:col>
      <xdr:colOff>1729271</xdr:colOff>
      <xdr:row>53</xdr:row>
      <xdr:rowOff>117337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DA1D7754-82BF-420D-A4F6-E78113D027C0}"/>
            </a:ext>
          </a:extLst>
        </xdr:cNvPr>
        <xdr:cNvCxnSpPr/>
      </xdr:nvCxnSpPr>
      <xdr:spPr>
        <a:xfrm>
          <a:off x="4524513" y="9980682"/>
          <a:ext cx="1716433" cy="318880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</xdr:row>
      <xdr:rowOff>107674</xdr:rowOff>
    </xdr:from>
    <xdr:to>
      <xdr:col>1</xdr:col>
      <xdr:colOff>1838739</xdr:colOff>
      <xdr:row>55</xdr:row>
      <xdr:rowOff>102566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15E6F27C-0439-4E09-967B-D3BC83AB310C}"/>
            </a:ext>
          </a:extLst>
        </xdr:cNvPr>
        <xdr:cNvCxnSpPr/>
      </xdr:nvCxnSpPr>
      <xdr:spPr>
        <a:xfrm flipV="1">
          <a:off x="4514850" y="10286724"/>
          <a:ext cx="1835564" cy="639417"/>
        </a:xfrm>
        <a:prstGeom prst="bentConnector3">
          <a:avLst>
            <a:gd name="adj1" fmla="val 50687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59</xdr:row>
      <xdr:rowOff>105741</xdr:rowOff>
    </xdr:from>
    <xdr:to>
      <xdr:col>2</xdr:col>
      <xdr:colOff>0</xdr:colOff>
      <xdr:row>60</xdr:row>
      <xdr:rowOff>124239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CD038887-B59A-4FC1-960B-722B290AD561}"/>
            </a:ext>
          </a:extLst>
        </xdr:cNvPr>
        <xdr:cNvCxnSpPr/>
      </xdr:nvCxnSpPr>
      <xdr:spPr>
        <a:xfrm>
          <a:off x="844826" y="11933306"/>
          <a:ext cx="1408044" cy="407781"/>
        </a:xfrm>
        <a:prstGeom prst="bentConnector3">
          <a:avLst>
            <a:gd name="adj1" fmla="val 5000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60</xdr:row>
      <xdr:rowOff>115956</xdr:rowOff>
    </xdr:from>
    <xdr:to>
      <xdr:col>2</xdr:col>
      <xdr:colOff>8282</xdr:colOff>
      <xdr:row>62</xdr:row>
      <xdr:rowOff>134730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E157D70B-E920-4FC9-B08A-1A368DCD4F08}"/>
            </a:ext>
          </a:extLst>
        </xdr:cNvPr>
        <xdr:cNvCxnSpPr/>
      </xdr:nvCxnSpPr>
      <xdr:spPr>
        <a:xfrm flipV="1">
          <a:off x="844826" y="12332804"/>
          <a:ext cx="1416326" cy="416339"/>
        </a:xfrm>
        <a:prstGeom prst="bentConnector3">
          <a:avLst>
            <a:gd name="adj1" fmla="val 5000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277</xdr:colOff>
      <xdr:row>53</xdr:row>
      <xdr:rowOff>84759</xdr:rowOff>
    </xdr:from>
    <xdr:to>
      <xdr:col>3</xdr:col>
      <xdr:colOff>2136913</xdr:colOff>
      <xdr:row>57</xdr:row>
      <xdr:rowOff>0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EAE01F2E-7F21-4E06-9345-78BDE1783DE7}"/>
            </a:ext>
          </a:extLst>
        </xdr:cNvPr>
        <xdr:cNvCxnSpPr/>
      </xdr:nvCxnSpPr>
      <xdr:spPr>
        <a:xfrm>
          <a:off x="3843407" y="10520846"/>
          <a:ext cx="2136636" cy="909154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56</xdr:row>
      <xdr:rowOff>182218</xdr:rowOff>
    </xdr:from>
    <xdr:to>
      <xdr:col>3</xdr:col>
      <xdr:colOff>2136913</xdr:colOff>
      <xdr:row>60</xdr:row>
      <xdr:rowOff>188567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B68809E5-488E-4F35-986E-BA631831B34D}"/>
            </a:ext>
          </a:extLst>
        </xdr:cNvPr>
        <xdr:cNvCxnSpPr/>
      </xdr:nvCxnSpPr>
      <xdr:spPr>
        <a:xfrm flipV="1">
          <a:off x="3843130" y="11413435"/>
          <a:ext cx="2136913" cy="991980"/>
        </a:xfrm>
        <a:prstGeom prst="bentConnector3">
          <a:avLst>
            <a:gd name="adj1" fmla="val 5000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47</xdr:row>
      <xdr:rowOff>209550</xdr:rowOff>
    </xdr:from>
    <xdr:to>
      <xdr:col>0</xdr:col>
      <xdr:colOff>9525</xdr:colOff>
      <xdr:row>48</xdr:row>
      <xdr:rowOff>85725</xdr:rowOff>
    </xdr:to>
    <xdr:cxnSp macro="">
      <xdr:nvCxnSpPr>
        <xdr:cNvPr id="2" name="Connector: Elbow 1">
          <a:extLst>
            <a:ext uri="{FF2B5EF4-FFF2-40B4-BE49-F238E27FC236}">
              <a16:creationId xmlns:a16="http://schemas.microsoft.com/office/drawing/2014/main" id="{C5FF6862-674C-4129-B866-2E88299A4361}"/>
            </a:ext>
          </a:extLst>
        </xdr:cNvPr>
        <xdr:cNvCxnSpPr/>
      </xdr:nvCxnSpPr>
      <xdr:spPr>
        <a:xfrm>
          <a:off x="0" y="11049000"/>
          <a:ext cx="6350" cy="82550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6488</xdr:colOff>
      <xdr:row>45</xdr:row>
      <xdr:rowOff>208032</xdr:rowOff>
    </xdr:from>
    <xdr:to>
      <xdr:col>1</xdr:col>
      <xdr:colOff>1729271</xdr:colOff>
      <xdr:row>46</xdr:row>
      <xdr:rowOff>117337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4EEF4D2E-F72B-48D4-8819-9BBED4D1A081}"/>
            </a:ext>
          </a:extLst>
        </xdr:cNvPr>
        <xdr:cNvCxnSpPr/>
      </xdr:nvCxnSpPr>
      <xdr:spPr>
        <a:xfrm>
          <a:off x="857388" y="10266432"/>
          <a:ext cx="1402108" cy="499855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46</xdr:row>
      <xdr:rowOff>107674</xdr:rowOff>
    </xdr:from>
    <xdr:to>
      <xdr:col>1</xdr:col>
      <xdr:colOff>1838739</xdr:colOff>
      <xdr:row>48</xdr:row>
      <xdr:rowOff>102566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561B82CA-5C82-4316-8EE2-86C63A0AF642}"/>
            </a:ext>
          </a:extLst>
        </xdr:cNvPr>
        <xdr:cNvCxnSpPr/>
      </xdr:nvCxnSpPr>
      <xdr:spPr>
        <a:xfrm flipV="1">
          <a:off x="847725" y="10753449"/>
          <a:ext cx="1406939" cy="401292"/>
        </a:xfrm>
        <a:prstGeom prst="bentConnector3">
          <a:avLst>
            <a:gd name="adj1" fmla="val 50687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52</xdr:row>
      <xdr:rowOff>105741</xdr:rowOff>
    </xdr:from>
    <xdr:to>
      <xdr:col>2</xdr:col>
      <xdr:colOff>0</xdr:colOff>
      <xdr:row>53</xdr:row>
      <xdr:rowOff>124239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3EE2F452-3389-4D23-B066-A80D1B48948C}"/>
            </a:ext>
          </a:extLst>
        </xdr:cNvPr>
        <xdr:cNvCxnSpPr/>
      </xdr:nvCxnSpPr>
      <xdr:spPr>
        <a:xfrm>
          <a:off x="847725" y="12332666"/>
          <a:ext cx="1409700" cy="618573"/>
        </a:xfrm>
        <a:prstGeom prst="bentConnector3">
          <a:avLst>
            <a:gd name="adj1" fmla="val 5000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53</xdr:row>
      <xdr:rowOff>115956</xdr:rowOff>
    </xdr:from>
    <xdr:to>
      <xdr:col>2</xdr:col>
      <xdr:colOff>8282</xdr:colOff>
      <xdr:row>55</xdr:row>
      <xdr:rowOff>134730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48393647-4728-49FD-A3BF-7B64ACE6020C}"/>
            </a:ext>
          </a:extLst>
        </xdr:cNvPr>
        <xdr:cNvCxnSpPr/>
      </xdr:nvCxnSpPr>
      <xdr:spPr>
        <a:xfrm flipV="1">
          <a:off x="847725" y="12946131"/>
          <a:ext cx="1421157" cy="418824"/>
        </a:xfrm>
        <a:prstGeom prst="bentConnector3">
          <a:avLst>
            <a:gd name="adj1" fmla="val 5000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277</xdr:colOff>
      <xdr:row>46</xdr:row>
      <xdr:rowOff>84759</xdr:rowOff>
    </xdr:from>
    <xdr:to>
      <xdr:col>3</xdr:col>
      <xdr:colOff>2136913</xdr:colOff>
      <xdr:row>50</xdr:row>
      <xdr:rowOff>0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C517552D-DF13-4C0B-B17F-6EA807780ECB}"/>
            </a:ext>
          </a:extLst>
        </xdr:cNvPr>
        <xdr:cNvCxnSpPr/>
      </xdr:nvCxnSpPr>
      <xdr:spPr>
        <a:xfrm>
          <a:off x="3848377" y="10736884"/>
          <a:ext cx="2139811" cy="1093166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49</xdr:row>
      <xdr:rowOff>182218</xdr:rowOff>
    </xdr:from>
    <xdr:to>
      <xdr:col>3</xdr:col>
      <xdr:colOff>2136913</xdr:colOff>
      <xdr:row>53</xdr:row>
      <xdr:rowOff>188567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99FECA07-61DE-4DEC-A461-57FAAB95A7F3}"/>
            </a:ext>
          </a:extLst>
        </xdr:cNvPr>
        <xdr:cNvCxnSpPr/>
      </xdr:nvCxnSpPr>
      <xdr:spPr>
        <a:xfrm flipV="1">
          <a:off x="3848100" y="11809068"/>
          <a:ext cx="2140088" cy="1209674"/>
        </a:xfrm>
        <a:prstGeom prst="bentConnector3">
          <a:avLst>
            <a:gd name="adj1" fmla="val 5000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89</xdr:row>
      <xdr:rowOff>209550</xdr:rowOff>
    </xdr:from>
    <xdr:to>
      <xdr:col>2</xdr:col>
      <xdr:colOff>9525</xdr:colOff>
      <xdr:row>90</xdr:row>
      <xdr:rowOff>85725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96BA2B3C-252F-43C6-A17E-029DAD6073B3}"/>
            </a:ext>
          </a:extLst>
        </xdr:cNvPr>
        <xdr:cNvCxnSpPr/>
      </xdr:nvCxnSpPr>
      <xdr:spPr>
        <a:xfrm>
          <a:off x="1295400" y="10591800"/>
          <a:ext cx="1730375" cy="311150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90</xdr:row>
      <xdr:rowOff>85725</xdr:rowOff>
    </xdr:from>
    <xdr:to>
      <xdr:col>2</xdr:col>
      <xdr:colOff>0</xdr:colOff>
      <xdr:row>91</xdr:row>
      <xdr:rowOff>215900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93B99A11-3601-4187-99ED-E9A745FDDB0D}"/>
            </a:ext>
          </a:extLst>
        </xdr:cNvPr>
        <xdr:cNvCxnSpPr/>
      </xdr:nvCxnSpPr>
      <xdr:spPr>
        <a:xfrm flipV="1">
          <a:off x="1295400" y="10902950"/>
          <a:ext cx="1724025" cy="498475"/>
        </a:xfrm>
        <a:prstGeom prst="bentConnector3">
          <a:avLst>
            <a:gd name="adj1" fmla="val 5000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1283805</xdr:colOff>
      <xdr:row>93</xdr:row>
      <xdr:rowOff>173934</xdr:rowOff>
    </xdr:from>
    <xdr:to>
      <xdr:col>1</xdr:col>
      <xdr:colOff>1720851</xdr:colOff>
      <xdr:row>94</xdr:row>
      <xdr:rowOff>91521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A46A8DDD-AF2A-4071-9804-894AF4A45DF1}"/>
            </a:ext>
          </a:extLst>
        </xdr:cNvPr>
        <xdr:cNvCxnSpPr/>
      </xdr:nvCxnSpPr>
      <xdr:spPr>
        <a:xfrm>
          <a:off x="1286980" y="11975409"/>
          <a:ext cx="1732446" cy="314462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1283805</xdr:colOff>
      <xdr:row>94</xdr:row>
      <xdr:rowOff>91521</xdr:rowOff>
    </xdr:from>
    <xdr:to>
      <xdr:col>1</xdr:col>
      <xdr:colOff>1711326</xdr:colOff>
      <xdr:row>95</xdr:row>
      <xdr:rowOff>221697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99F9DA79-2616-40E9-AD6E-7E6F04246B26}"/>
            </a:ext>
          </a:extLst>
        </xdr:cNvPr>
        <xdr:cNvCxnSpPr/>
      </xdr:nvCxnSpPr>
      <xdr:spPr>
        <a:xfrm flipV="1">
          <a:off x="1286980" y="12289871"/>
          <a:ext cx="1719746" cy="482601"/>
        </a:xfrm>
        <a:prstGeom prst="bentConnector3">
          <a:avLst>
            <a:gd name="adj1" fmla="val 5000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9663</xdr:colOff>
      <xdr:row>87</xdr:row>
      <xdr:rowOff>198507</xdr:rowOff>
    </xdr:from>
    <xdr:to>
      <xdr:col>3</xdr:col>
      <xdr:colOff>2095500</xdr:colOff>
      <xdr:row>88</xdr:row>
      <xdr:rowOff>123264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90CDC918-ED89-4EE7-9307-B7BCC2CDC787}"/>
            </a:ext>
          </a:extLst>
        </xdr:cNvPr>
        <xdr:cNvCxnSpPr/>
      </xdr:nvCxnSpPr>
      <xdr:spPr>
        <a:xfrm>
          <a:off x="4200663" y="16895272"/>
          <a:ext cx="2085837" cy="126463"/>
        </a:xfrm>
        <a:prstGeom prst="bentConnector3">
          <a:avLst>
            <a:gd name="adj1" fmla="val 5000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88</xdr:row>
      <xdr:rowOff>134470</xdr:rowOff>
    </xdr:from>
    <xdr:to>
      <xdr:col>4</xdr:col>
      <xdr:colOff>0</xdr:colOff>
      <xdr:row>90</xdr:row>
      <xdr:rowOff>105741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223A1F54-CB29-49CD-A57A-4B245430382B}"/>
            </a:ext>
          </a:extLst>
        </xdr:cNvPr>
        <xdr:cNvCxnSpPr/>
      </xdr:nvCxnSpPr>
      <xdr:spPr>
        <a:xfrm flipV="1">
          <a:off x="4191000" y="17032941"/>
          <a:ext cx="2117912" cy="755682"/>
        </a:xfrm>
        <a:prstGeom prst="bentConnector3">
          <a:avLst>
            <a:gd name="adj1" fmla="val 5000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94</xdr:row>
      <xdr:rowOff>102566</xdr:rowOff>
    </xdr:from>
    <xdr:to>
      <xdr:col>4</xdr:col>
      <xdr:colOff>24848</xdr:colOff>
      <xdr:row>95</xdr:row>
      <xdr:rowOff>223631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6775AA9C-114D-401E-9EC7-68746384FF4A}"/>
            </a:ext>
          </a:extLst>
        </xdr:cNvPr>
        <xdr:cNvCxnSpPr/>
      </xdr:nvCxnSpPr>
      <xdr:spPr>
        <a:xfrm>
          <a:off x="4514850" y="12307266"/>
          <a:ext cx="1885398" cy="467140"/>
        </a:xfrm>
        <a:prstGeom prst="bentConnector3">
          <a:avLst>
            <a:gd name="adj1" fmla="val 46482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95</xdr:row>
      <xdr:rowOff>231913</xdr:rowOff>
    </xdr:from>
    <xdr:to>
      <xdr:col>3</xdr:col>
      <xdr:colOff>1838739</xdr:colOff>
      <xdr:row>97</xdr:row>
      <xdr:rowOff>134730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E8411F8D-44C7-4DB8-8B6A-2F3BAE5689D2}"/>
            </a:ext>
          </a:extLst>
        </xdr:cNvPr>
        <xdr:cNvCxnSpPr/>
      </xdr:nvCxnSpPr>
      <xdr:spPr>
        <a:xfrm flipV="1">
          <a:off x="4514850" y="12789038"/>
          <a:ext cx="1835564" cy="509242"/>
        </a:xfrm>
        <a:prstGeom prst="bentConnector3">
          <a:avLst>
            <a:gd name="adj1" fmla="val 54884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1860412</xdr:colOff>
      <xdr:row>88</xdr:row>
      <xdr:rowOff>87934</xdr:rowOff>
    </xdr:from>
    <xdr:to>
      <xdr:col>5</xdr:col>
      <xdr:colOff>1656522</xdr:colOff>
      <xdr:row>91</xdr:row>
      <xdr:rowOff>207065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D2F847C7-A5AB-4CCB-B619-BF391C847F1F}"/>
            </a:ext>
          </a:extLst>
        </xdr:cNvPr>
        <xdr:cNvCxnSpPr/>
      </xdr:nvCxnSpPr>
      <xdr:spPr>
        <a:xfrm>
          <a:off x="8229462" y="10266984"/>
          <a:ext cx="1675710" cy="1122431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91</xdr:row>
      <xdr:rowOff>198783</xdr:rowOff>
    </xdr:from>
    <xdr:to>
      <xdr:col>5</xdr:col>
      <xdr:colOff>1615109</xdr:colOff>
      <xdr:row>95</xdr:row>
      <xdr:rowOff>188567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0B261273-40E1-4569-81C3-145D893A82EE}"/>
            </a:ext>
          </a:extLst>
        </xdr:cNvPr>
        <xdr:cNvCxnSpPr/>
      </xdr:nvCxnSpPr>
      <xdr:spPr>
        <a:xfrm flipV="1">
          <a:off x="8248650" y="11384308"/>
          <a:ext cx="1611934" cy="1358209"/>
        </a:xfrm>
        <a:prstGeom prst="bentConnector3">
          <a:avLst>
            <a:gd name="adj1" fmla="val 5000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E94611-D2E5-4BA2-BEEF-3301251638AB}" name="Table1" displayName="Table1" ref="A4:I9" totalsRowShown="0" headerRowDxfId="252" dataDxfId="250" headerRowBorderDxfId="251" tableBorderDxfId="249" totalsRowBorderDxfId="248">
  <autoFilter ref="A4:I9" xr:uid="{40E94611-D2E5-4BA2-BEEF-3301251638AB}"/>
  <tableColumns count="9">
    <tableColumn id="1" xr3:uid="{BF4C3EF4-5D8A-4479-8590-C5EA73D78F44}" name="Group A" dataDxfId="247">
      <calculatedColumnFormula>+'2x2 MIX'!A34</calculatedColumnFormula>
    </tableColumn>
    <tableColumn id="2" xr3:uid="{040921CE-BF44-41E1-B787-07B0F1B7CB9C}" name="Games played" dataDxfId="246">
      <calculatedColumnFormula array="1">SUMPRODUCT(--('2x2 MIX'!C$43:C$82 = Standings!A5),--('2x2 MIX'!I$43:I$82&lt;&gt;""))+SUMPRODUCT(--('2x2 MIX'!D$43:D$82 = Standings!A5),--('2x2 MIX'!I$43:I$82&lt;&gt;""))</calculatedColumnFormula>
    </tableColumn>
    <tableColumn id="3" xr3:uid="{C3D76DA1-9B64-4CD1-902F-C5D1815EA96B}" name="Wins" dataDxfId="245">
      <calculatedColumnFormula array="1">SUMPRODUCT(--('2x2 MIX'!C$43:C$82 = Standings!A5),--('2x2 MIX'!I$43:I$82&gt;'2x2 MIX'!J$43:J$82))+SUMPRODUCT(--('2x2 MIX'!D$43:D$82 = Standings!A5),--('2x2 MIX'!I$43:I$82&lt;'2x2 MIX'!J$43:J$82))</calculatedColumnFormula>
    </tableColumn>
    <tableColumn id="4" xr3:uid="{A438514E-E043-4548-89F0-EE3B3DB0639C}" name="Tied" dataDxfId="244">
      <calculatedColumnFormula>+B5-C5-E5</calculatedColumnFormula>
    </tableColumn>
    <tableColumn id="5" xr3:uid="{370565E0-20B3-4A58-B2F6-18A86412F1B6}" name="Losses" dataDxfId="243">
      <calculatedColumnFormula array="1">SUMPRODUCT(--('2x2 MIX'!C$43:C$82 = Standings!A5),--('2x2 MIX'!I$43:I$82&lt;'2x2 MIX'!J$43:J$82))+SUMPRODUCT(--('2x2 MIX'!D$43:D$82 = Standings!A5),--('2x2 MIX'!I$43:I$82&gt;'2x2 MIX'!J$43:J$82))</calculatedColumnFormula>
    </tableColumn>
    <tableColumn id="6" xr3:uid="{304CCA95-84D3-4149-93EF-DDFED9F42AB4}" name="Points won" dataDxfId="242">
      <calculatedColumnFormula>+SUMIFS('2x2 MIX'!I$43:J$82,'2x2 MIX'!C$43:D$82,Standings!A5)</calculatedColumnFormula>
    </tableColumn>
    <tableColumn id="7" xr3:uid="{86AA80F2-E0C1-46EE-A312-C32006F38744}" name="Points lost" dataDxfId="241">
      <calculatedColumnFormula array="1">SUMPRODUCT(--('2x2 MIX'!C$43:C$82=Standings!A5),'2x2 MIX'!J$43:J$82)+SUMPRODUCT(--('2x2 MIX'!D$43:D$82=Standings!A5),'2x2 MIX'!I$43:I$82)</calculatedColumnFormula>
    </tableColumn>
    <tableColumn id="8" xr3:uid="{92B79070-EC14-4FC5-B20D-5C5B123A808F}" name="Score" dataDxfId="240">
      <calculatedColumnFormula>0.75*(C5*2+D5*1)</calculatedColumnFormula>
    </tableColumn>
    <tableColumn id="9" xr3:uid="{35B68659-4345-4B11-B983-690498A183E6}" name="Points quotient" dataDxfId="239">
      <calculatedColumnFormula>+F5/G5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76EA38-F33D-417A-ADD3-14FCFD9FF0F0}" name="Table2" displayName="Table2" ref="A11:I15" totalsRowShown="0" headerRowDxfId="238" dataDxfId="236" headerRowBorderDxfId="237" tableBorderDxfId="235" totalsRowBorderDxfId="234">
  <autoFilter ref="A11:I15" xr:uid="{2E76EA38-F33D-417A-ADD3-14FCFD9FF0F0}"/>
  <tableColumns count="9">
    <tableColumn id="1" xr3:uid="{174855F5-B12E-4D5C-8826-192CA9B533A7}" name="Group B" dataDxfId="233">
      <calculatedColumnFormula>+'2x2 MIX'!B34</calculatedColumnFormula>
    </tableColumn>
    <tableColumn id="2" xr3:uid="{112E5591-5405-4AC1-BCCE-CBBA43DA406A}" name="Games played" dataDxfId="232">
      <calculatedColumnFormula array="1">SUMPRODUCT(--('2x2 MIX'!C$43:C$82 = Standings!A12),--('2x2 MIX'!I$43:I$82&lt;&gt;""))+SUMPRODUCT(--('2x2 MIX'!D$43:D$82 = Standings!A12),--('2x2 MIX'!I$43:I$82&lt;&gt;""))</calculatedColumnFormula>
    </tableColumn>
    <tableColumn id="3" xr3:uid="{2B30F736-EE8A-45C7-9518-6C28BE37AE65}" name="Wins" dataDxfId="231">
      <calculatedColumnFormula array="1">SUMPRODUCT(--('2x2 MIX'!C$43:C$82 = Standings!A12),--('2x2 MIX'!I$43:I$82&gt;'2x2 MIX'!J$43:J$82))+SUMPRODUCT(--('2x2 MIX'!D$43:D$82 = Standings!A12),--('2x2 MIX'!I$43:I$82&lt;'2x2 MIX'!J$43:J$82))</calculatedColumnFormula>
    </tableColumn>
    <tableColumn id="4" xr3:uid="{DF17199B-8AE1-4D32-8793-C676361C8A48}" name="Tied" dataDxfId="230">
      <calculatedColumnFormula>+B12-C12-E12</calculatedColumnFormula>
    </tableColumn>
    <tableColumn id="5" xr3:uid="{8E808B1B-CEE8-4B57-B4CC-5C930971D73A}" name="Losses" dataDxfId="229">
      <calculatedColumnFormula array="1">SUMPRODUCT(--('2x2 MIX'!C$43:C$82 = Standings!A12),--('2x2 MIX'!I$43:I$82&lt;'2x2 MIX'!J$43:J$82))+SUMPRODUCT(--('2x2 MIX'!D$43:D$82 = Standings!A12),--('2x2 MIX'!I$43:I$82&gt;'2x2 MIX'!J$43:J$82))</calculatedColumnFormula>
    </tableColumn>
    <tableColumn id="6" xr3:uid="{1FEF3CF4-151A-4BFE-8AD9-4C4E33B505A3}" name="Points won" dataDxfId="228">
      <calculatedColumnFormula>+SUMIFS('2x2 MIX'!I$43:J$82,'2x2 MIX'!C$43:D$82,Standings!A12)</calculatedColumnFormula>
    </tableColumn>
    <tableColumn id="7" xr3:uid="{83409559-D5BA-4ACB-97EE-622C012DE97A}" name="Points lost" dataDxfId="227">
      <calculatedColumnFormula array="1">SUMPRODUCT(--('2x2 MIX'!C$43:C$82=Standings!A12),'2x2 MIX'!J$43:J$82)+SUMPRODUCT(--('2x2 MIX'!D$43:D$82=Standings!A12),'2x2 MIX'!I$43:I$82)</calculatedColumnFormula>
    </tableColumn>
    <tableColumn id="8" xr3:uid="{D032B863-64B2-4BA5-8512-23585B9A8AD8}" name="Score" dataDxfId="226">
      <calculatedColumnFormula>+C12*2+D12*1</calculatedColumnFormula>
    </tableColumn>
    <tableColumn id="9" xr3:uid="{829C7DA2-B979-4B06-AD89-F2D32B8CBAC2}" name="Points quotient" dataDxfId="225">
      <calculatedColumnFormula>+F12/G12</calculatedColumnFormula>
    </tableColumn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9C8AB0-508C-47EB-AB82-87D133082B3E}" name="Table3" displayName="Table3" ref="A17:I21" totalsRowShown="0" headerRowDxfId="224" dataDxfId="222" headerRowBorderDxfId="223" tableBorderDxfId="221" totalsRowBorderDxfId="220">
  <autoFilter ref="A17:I21" xr:uid="{609C8AB0-508C-47EB-AB82-87D133082B3E}"/>
  <tableColumns count="9">
    <tableColumn id="1" xr3:uid="{9664D9B1-3EC9-48CB-81A2-BC855206C939}" name="Group C" dataDxfId="219">
      <calculatedColumnFormula>+'2x2 MIX'!C34</calculatedColumnFormula>
    </tableColumn>
    <tableColumn id="2" xr3:uid="{192E0623-D32E-47D0-B535-8BA83BF50A67}" name="Games played" dataDxfId="218">
      <calculatedColumnFormula array="1">SUMPRODUCT(--('2x2 MIX'!C$43:C$82 = Standings!A18),--('2x2 MIX'!I$43:I$82&lt;&gt;""))+SUMPRODUCT(--('2x2 MIX'!D$43:D$82 = Standings!A18),--('2x2 MIX'!I$43:I$82&lt;&gt;""))</calculatedColumnFormula>
    </tableColumn>
    <tableColumn id="3" xr3:uid="{BD9F42F3-FB45-4548-9FFB-8D3B3924E283}" name="Wins" dataDxfId="217">
      <calculatedColumnFormula array="1">SUMPRODUCT(--('2x2 MIX'!C$43:C$82 = Standings!A18),--('2x2 MIX'!I$43:I$82&gt;'2x2 MIX'!J$43:J$82))+SUMPRODUCT(--('2x2 MIX'!D$43:D$82 = Standings!A18),--('2x2 MIX'!I$43:I$82&lt;'2x2 MIX'!J$43:J$82))</calculatedColumnFormula>
    </tableColumn>
    <tableColumn id="4" xr3:uid="{F597CAA1-6B79-486B-BF77-BD8E9F6AC28E}" name="Tied" dataDxfId="216">
      <calculatedColumnFormula>+B18-C18-E18</calculatedColumnFormula>
    </tableColumn>
    <tableColumn id="5" xr3:uid="{E2010C6E-9A88-4158-BDC2-CDA8929FA255}" name="Losses" dataDxfId="215">
      <calculatedColumnFormula array="1">SUMPRODUCT(--('2x2 MIX'!C$43:C$82 = Standings!A18),--('2x2 MIX'!I$43:I$82&lt;'2x2 MIX'!J$43:J$82))+SUMPRODUCT(--('2x2 MIX'!D$43:D$82 = Standings!A18),--('2x2 MIX'!I$43:I$82&gt;'2x2 MIX'!J$43:J$82))</calculatedColumnFormula>
    </tableColumn>
    <tableColumn id="6" xr3:uid="{461DC217-75D5-4E9A-A9BF-ED45614622F8}" name="Points won" dataDxfId="214">
      <calculatedColumnFormula>+SUMIFS('2x2 MIX'!I$43:J$82,'2x2 MIX'!C$43:D$82,Standings!A18)</calculatedColumnFormula>
    </tableColumn>
    <tableColumn id="7" xr3:uid="{6835BDCB-3D4D-4A1F-9E40-4AFA9C039184}" name="Points lost" dataDxfId="213">
      <calculatedColumnFormula array="1">SUMPRODUCT(--('2x2 MIX'!C$43:C$82=Standings!A18),'2x2 MIX'!J$43:J$82)+SUMPRODUCT(--('2x2 MIX'!D$43:D$82=Standings!A18),'2x2 MIX'!I$43:I$82)</calculatedColumnFormula>
    </tableColumn>
    <tableColumn id="8" xr3:uid="{60696664-FA1E-4FDE-81AB-030566CB5C04}" name="Score" dataDxfId="212">
      <calculatedColumnFormula>+C18*2+D18*1</calculatedColumnFormula>
    </tableColumn>
    <tableColumn id="9" xr3:uid="{47EDDEAA-D945-4D17-9586-CD53679188F5}" name="Points quotient" dataDxfId="211">
      <calculatedColumnFormula>+F18/G18</calculatedColumnFormula>
    </tableColumn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BAE87E-DC7F-4ED2-B784-36A3973CDD8F}" name="Table4" displayName="Table4" ref="A23:I27" totalsRowShown="0" headerRowDxfId="210" dataDxfId="208" headerRowBorderDxfId="209" tableBorderDxfId="207" totalsRowBorderDxfId="206">
  <autoFilter ref="A23:I27" xr:uid="{DDBAE87E-DC7F-4ED2-B784-36A3973CDD8F}"/>
  <tableColumns count="9">
    <tableColumn id="1" xr3:uid="{B6E05DAA-99FA-46C5-9FC3-043540C07C54}" name="Group D" dataDxfId="205">
      <calculatedColumnFormula>+'2x2 MIX'!D34</calculatedColumnFormula>
    </tableColumn>
    <tableColumn id="2" xr3:uid="{EFF529E1-BD16-46D0-90E5-C1369EEA08FB}" name="Games played" dataDxfId="204">
      <calculatedColumnFormula array="1">SUMPRODUCT(--('2x2 MIX'!C$43:C$82 = Standings!A24),--('2x2 MIX'!I$43:I$82&lt;&gt;""))+SUMPRODUCT(--('2x2 MIX'!D$43:D$82 = Standings!A24),--('2x2 MIX'!I$43:I$82&lt;&gt;""))</calculatedColumnFormula>
    </tableColumn>
    <tableColumn id="3" xr3:uid="{1C221071-7854-4367-A0D8-7F919059C685}" name="Wins" dataDxfId="203">
      <calculatedColumnFormula array="1">SUMPRODUCT(--('2x2 MIX'!C$43:C$82 = Standings!A24),--('2x2 MIX'!I$43:I$82&gt;'2x2 MIX'!J$43:J$82))+SUMPRODUCT(--('2x2 MIX'!D$43:D$82 = Standings!A24),--('2x2 MIX'!I$43:I$82&lt;'2x2 MIX'!J$43:J$82))</calculatedColumnFormula>
    </tableColumn>
    <tableColumn id="4" xr3:uid="{2604A00E-3E9D-4DF3-B4F5-C32D486CF979}" name="Tied" dataDxfId="202">
      <calculatedColumnFormula>+B24-C24-E24</calculatedColumnFormula>
    </tableColumn>
    <tableColumn id="5" xr3:uid="{1A07C6F1-E3CD-4923-ADD3-CDCA21DA713D}" name="Losses" dataDxfId="201">
      <calculatedColumnFormula array="1">SUMPRODUCT(--('2x2 MIX'!C$43:C$82 = Standings!A24),--('2x2 MIX'!I$43:I$82&lt;'2x2 MIX'!J$43:J$82))+SUMPRODUCT(--('2x2 MIX'!D$43:D$82 = Standings!A24),--('2x2 MIX'!I$43:I$82&gt;'2x2 MIX'!J$43:J$82))</calculatedColumnFormula>
    </tableColumn>
    <tableColumn id="6" xr3:uid="{D9761472-57BF-4B1D-8300-9F0D9D799A4D}" name="Points won" dataDxfId="200">
      <calculatedColumnFormula>+SUMIFS('2x2 MIX'!I$43:J$82,'2x2 MIX'!C$43:D$82,Standings!A24)</calculatedColumnFormula>
    </tableColumn>
    <tableColumn id="7" xr3:uid="{58E154C1-42BB-4201-A079-46027365F9FE}" name="Points lost" dataDxfId="199">
      <calculatedColumnFormula array="1">SUMPRODUCT(--('2x2 MIX'!C$43:C$82=Standings!A24),'2x2 MIX'!J$43:J$82)+SUMPRODUCT(--('2x2 MIX'!D$43:D$82=Standings!A24),'2x2 MIX'!I$43:I$82)</calculatedColumnFormula>
    </tableColumn>
    <tableColumn id="8" xr3:uid="{306A92E7-AB1C-4B06-8C75-59D8579E1A0B}" name="Score" dataDxfId="198">
      <calculatedColumnFormula>+C24*2+D24*1</calculatedColumnFormula>
    </tableColumn>
    <tableColumn id="9" xr3:uid="{7141BC4C-418B-43B2-B346-9B6F49E62525}" name="Points quotient" dataDxfId="197">
      <calculatedColumnFormula>+F24/G24</calculatedColumnFormula>
    </tableColumn>
  </tableColumns>
  <tableStyleInfo name="TableStyleLight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E3D28B-19C4-43AD-A6B5-AC8BB3D15567}" name="Table5" displayName="Table5" ref="A29:I33" totalsRowShown="0" headerRowDxfId="196" dataDxfId="194" headerRowBorderDxfId="195" tableBorderDxfId="193" totalsRowBorderDxfId="192">
  <autoFilter ref="A29:I33" xr:uid="{38E3D28B-19C4-43AD-A6B5-AC8BB3D15567}"/>
  <tableColumns count="9">
    <tableColumn id="1" xr3:uid="{27E58B8E-D74B-4198-841E-DFF97BC4D699}" name="Group E" dataDxfId="191">
      <calculatedColumnFormula>+'2x2 MIX'!E34</calculatedColumnFormula>
    </tableColumn>
    <tableColumn id="2" xr3:uid="{7E179571-4E9D-458E-9180-D585EE9A17AD}" name="Games played" dataDxfId="190">
      <calculatedColumnFormula array="1">SUMPRODUCT(--('2x2 MIX'!C$43:C$82 = Standings!A30),--('2x2 MIX'!I$43:I$82&lt;&gt;""))+SUMPRODUCT(--('2x2 MIX'!D$43:D$82 = Standings!A30),--('2x2 MIX'!I$43:I$82&lt;&gt;""))</calculatedColumnFormula>
    </tableColumn>
    <tableColumn id="3" xr3:uid="{9E68B606-05E1-4DE2-87C5-B104A3AA84C0}" name="Wins" dataDxfId="189">
      <calculatedColumnFormula array="1">SUMPRODUCT(--('2x2 MIX'!C$43:C$82 = Standings!A30),--('2x2 MIX'!I$43:I$82&gt;'2x2 MIX'!J$43:J$82))+SUMPRODUCT(--('2x2 MIX'!D$43:D$82 = Standings!A30),--('2x2 MIX'!I$43:I$82&lt;'2x2 MIX'!J$43:J$82))</calculatedColumnFormula>
    </tableColumn>
    <tableColumn id="4" xr3:uid="{CBA8DDE5-773E-4BFE-B4CC-DF8B6355C6B1}" name="Tied" dataDxfId="188">
      <calculatedColumnFormula>+B30-C30-E30</calculatedColumnFormula>
    </tableColumn>
    <tableColumn id="5" xr3:uid="{441606B0-CEF2-4F05-AC6C-D5294FE28F2A}" name="Losses" dataDxfId="187">
      <calculatedColumnFormula array="1">SUMPRODUCT(--('2x2 MIX'!C$43:C$82 = Standings!A30),--('2x2 MIX'!I$43:I$82&lt;'2x2 MIX'!J$43:J$82))+SUMPRODUCT(--('2x2 MIX'!D$43:D$82 = Standings!A30),--('2x2 MIX'!I$43:I$82&gt;'2x2 MIX'!J$43:J$82))</calculatedColumnFormula>
    </tableColumn>
    <tableColumn id="6" xr3:uid="{846DAB82-DCD7-4924-A01D-2A62ADE8C23D}" name="Points won" dataDxfId="186">
      <calculatedColumnFormula>+SUMIFS('2x2 MIX'!I$43:J$82,'2x2 MIX'!C$43:D$82,Standings!A30)</calculatedColumnFormula>
    </tableColumn>
    <tableColumn id="7" xr3:uid="{8D4A88EA-CE8C-4CD9-9AA6-88C2D0EDCD38}" name="Points lost" dataDxfId="185">
      <calculatedColumnFormula array="1">SUMPRODUCT(--('2x2 MIX'!C$43:C$82=Standings!A30),'2x2 MIX'!J$43:J$82)+SUMPRODUCT(--('2x2 MIX'!D$43:D$82=Standings!A30),'2x2 MIX'!I$43:I$82)</calculatedColumnFormula>
    </tableColumn>
    <tableColumn id="8" xr3:uid="{F47A8323-3523-4225-B60C-D9D2E651AF45}" name="Score" dataDxfId="184">
      <calculatedColumnFormula>+C30*2+D30*1</calculatedColumnFormula>
    </tableColumn>
    <tableColumn id="9" xr3:uid="{F09DBE09-9658-4F72-8CFA-A91286C814A3}" name="Points quotient" dataDxfId="183">
      <calculatedColumnFormula>+F30/G30</calculatedColumnFormula>
    </tableColumn>
  </tableColumns>
  <tableStyleInfo name="TableStyleLight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35FC16-BFB8-4D7E-BEB8-21F831E78D70}" name="Table6" displayName="Table6" ref="A35:I39" totalsRowShown="0" headerRowDxfId="182" dataDxfId="180" headerRowBorderDxfId="181" tableBorderDxfId="179" totalsRowBorderDxfId="178">
  <autoFilter ref="A35:I39" xr:uid="{7135FC16-BFB8-4D7E-BEB8-21F831E78D70}"/>
  <tableColumns count="9">
    <tableColumn id="1" xr3:uid="{27860F78-A48A-41EC-9DEF-C64A0F345BA2}" name="Group F" dataDxfId="177">
      <calculatedColumnFormula>+'2x2 MIX'!F34</calculatedColumnFormula>
    </tableColumn>
    <tableColumn id="2" xr3:uid="{4D297BEA-B768-48A4-B4F7-C757F137F8C0}" name="Games played" dataDxfId="176">
      <calculatedColumnFormula array="1">SUMPRODUCT(--('2x2 MIX'!C$43:C$82 = Standings!A36),--('2x2 MIX'!I$43:I$82&lt;&gt;""))+SUMPRODUCT(--('2x2 MIX'!D$43:D$82 = Standings!A36),--('2x2 MIX'!I$43:I$82&lt;&gt;""))</calculatedColumnFormula>
    </tableColumn>
    <tableColumn id="3" xr3:uid="{B283583D-AEA8-4A10-A621-32651FA88D96}" name="Wins" dataDxfId="175">
      <calculatedColumnFormula array="1">SUMPRODUCT(--('2x2 MIX'!C$43:C$82 = Standings!A36),--('2x2 MIX'!I$43:I$82&gt;'2x2 MIX'!J$43:J$82))+SUMPRODUCT(--('2x2 MIX'!D$43:D$82 = Standings!A36),--('2x2 MIX'!I$43:I$82&lt;'2x2 MIX'!J$43:J$82))</calculatedColumnFormula>
    </tableColumn>
    <tableColumn id="4" xr3:uid="{1AE4262B-0D03-43DE-BA83-DE4A511FB2B1}" name="Tied" dataDxfId="174">
      <calculatedColumnFormula>+B36-C36-E36</calculatedColumnFormula>
    </tableColumn>
    <tableColumn id="5" xr3:uid="{398AB367-2918-4273-9900-F80F3AC0EE9E}" name="Losses" dataDxfId="173">
      <calculatedColumnFormula array="1">SUMPRODUCT(--('2x2 MIX'!C$43:C$82 = Standings!A36),--('2x2 MIX'!I$43:I$82&lt;'2x2 MIX'!J$43:J$82))+SUMPRODUCT(--('2x2 MIX'!D$43:D$82 = Standings!A36),--('2x2 MIX'!I$43:I$82&gt;'2x2 MIX'!J$43:J$82))</calculatedColumnFormula>
    </tableColumn>
    <tableColumn id="6" xr3:uid="{EA680A3F-D556-4A0A-9DA6-274772435BB8}" name="Points won" dataDxfId="172">
      <calculatedColumnFormula>+SUMIFS('2x2 MIX'!I$43:J$82,'2x2 MIX'!C$43:D$82,Standings!A36)</calculatedColumnFormula>
    </tableColumn>
    <tableColumn id="7" xr3:uid="{7C0DC6B9-0B8D-4015-A35C-F89F36CFC8CF}" name="Points lost" dataDxfId="171">
      <calculatedColumnFormula array="1">SUMPRODUCT(--('2x2 MIX'!C$43:C$82=Standings!A36),'2x2 MIX'!J$43:J$82)+SUMPRODUCT(--('2x2 MIX'!D$43:D$82=Standings!A36),'2x2 MIX'!I$43:I$82)</calculatedColumnFormula>
    </tableColumn>
    <tableColumn id="8" xr3:uid="{8D72CC1E-A38C-4BC8-BED4-81E6D3B2456E}" name="Score" dataDxfId="170">
      <calculatedColumnFormula>+C36*2+D36*1</calculatedColumnFormula>
    </tableColumn>
    <tableColumn id="9" xr3:uid="{A8AAB3B1-0002-405D-8BD7-715544A31A23}" name="Points quotient" dataDxfId="169">
      <calculatedColumnFormula>+F36/G36</calculatedColumnFormula>
    </tableColumn>
  </tableColumns>
  <tableStyleInfo name="TableStyleLight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74C98E0-49DA-4979-B383-B6898CDB2CBE}" name="Table114" displayName="Table114" ref="A44:I49" totalsRowShown="0" headerRowDxfId="168" dataDxfId="166" headerRowBorderDxfId="167" tableBorderDxfId="165" totalsRowBorderDxfId="164">
  <autoFilter ref="A44:I49" xr:uid="{874C98E0-49DA-4979-B383-B6898CDB2CBE}"/>
  <tableColumns count="9">
    <tableColumn id="1" xr3:uid="{B6CC729E-C168-4C79-86A7-64B30036DD25}" name="Group A" dataDxfId="163">
      <calculatedColumnFormula>+'2x2M'!A24</calculatedColumnFormula>
    </tableColumn>
    <tableColumn id="2" xr3:uid="{0BB855BE-A6B4-4FE4-9291-5D56AF9B47D3}" name="Games played" dataDxfId="162">
      <calculatedColumnFormula array="1">SUMPRODUCT(--('2x2 MIX'!R$13:R$52 = Standings!A45),--('2x2 MIX'!W$13:W$52&lt;&gt;""))+SUMPRODUCT(--('2x2 MIX'!S$13:S$52 = Standings!A45),--('2x2 MIX'!W$13:W$52&lt;&gt;""))</calculatedColumnFormula>
    </tableColumn>
    <tableColumn id="3" xr3:uid="{0509621A-9FFC-4C06-9E6F-8B7CD0841B4E}" name="Wins" dataDxfId="161">
      <calculatedColumnFormula array="1">SUMPRODUCT(--('2x2 MIX'!R$13:R$52 = Standings!A45),--('2x2 MIX'!W$13:W$52&gt;'2x2 MIX'!X$13:X$52))+SUMPRODUCT(--('2x2 MIX'!S$13:S$52 = Standings!A45),--('2x2 MIX'!W$13:W$52&lt;'2x2 MIX'!X$13:X$52))</calculatedColumnFormula>
    </tableColumn>
    <tableColumn id="4" xr3:uid="{5DF7AABD-9804-4618-BAE5-695D7BAC3C66}" name="Tied" dataDxfId="160">
      <calculatedColumnFormula>+B45-C45-E45</calculatedColumnFormula>
    </tableColumn>
    <tableColumn id="5" xr3:uid="{ADA3C05B-6819-4BF8-96FC-5E224CD44CD2}" name="Losses" dataDxfId="159">
      <calculatedColumnFormula array="1">SUMPRODUCT(--('2x2 MIX'!R$13:R$52 = Standings!A45),--('2x2 MIX'!W$13:W$52&lt;'2x2 MIX'!X$13:X$52))+SUMPRODUCT(--('2x2 MIX'!S$13:S$52 = Standings!A45),--('2x2 MIX'!W$13:W$52&gt;'2x2 MIX'!X$13:X$52))</calculatedColumnFormula>
    </tableColumn>
    <tableColumn id="6" xr3:uid="{E1EAFC34-255E-4898-A7C8-BD1CB81FDD83}" name="Points won" dataDxfId="158">
      <calculatedColumnFormula>+SUMIFS('2x2 MIX'!W$13:X$52,'2x2 MIX'!R$13:S$52,Standings!A45)</calculatedColumnFormula>
    </tableColumn>
    <tableColumn id="7" xr3:uid="{C943685E-AA36-4807-B4CA-100B68DA6826}" name="Points lost" dataDxfId="157">
      <calculatedColumnFormula array="1">SUMPRODUCT(--('2x2 MIX'!R$13:R$52=Standings!A45),'2x2 MIX'!X$13:X$52)+SUMPRODUCT(--('2x2 MIX'!S$13:S$52=Standings!A45),'2x2 MIX'!W$13:W$52)</calculatedColumnFormula>
    </tableColumn>
    <tableColumn id="8" xr3:uid="{C45448D2-9F6D-40B9-B146-35F1D7BE46C2}" name="Score" dataDxfId="156">
      <calculatedColumnFormula>+C45*2+D45*1</calculatedColumnFormula>
    </tableColumn>
    <tableColumn id="9" xr3:uid="{C9640AFC-4FA9-49C9-87C6-F77454F28D89}" name="Points quotient" dataDxfId="155">
      <calculatedColumnFormula>+F45/G45</calculatedColumnFormula>
    </tableColumn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ADF619E-09D0-46A6-A849-DDDA18DA7D1C}" name="Table215" displayName="Table215" ref="A51:I55" totalsRowShown="0" headerRowDxfId="154" dataDxfId="152" headerRowBorderDxfId="153" tableBorderDxfId="151" totalsRowBorderDxfId="150">
  <autoFilter ref="A51:I55" xr:uid="{BADF619E-09D0-46A6-A849-DDDA18DA7D1C}"/>
  <tableColumns count="9">
    <tableColumn id="1" xr3:uid="{C03EE877-1D61-42D3-A515-60065752F06B}" name="Group B" dataDxfId="149">
      <calculatedColumnFormula>+'2x2M'!B24</calculatedColumnFormula>
    </tableColumn>
    <tableColumn id="2" xr3:uid="{0DCD0122-99AF-42CD-9510-D67B53A0D383}" name="Games played" dataDxfId="148">
      <calculatedColumnFormula array="1">SUMPRODUCT(--('2x2M'!C$31:C$48=Standings!A52),--('2x2M'!I$31:I$48&lt;&gt;""))+SUMPRODUCT(--('2x2M'!D$31:D$48=Standings!A52),--('2x2M'!J$31:J$48&lt;&gt;""))</calculatedColumnFormula>
    </tableColumn>
    <tableColumn id="3" xr3:uid="{56AAD639-017B-417E-9D27-59F0C8B3F77E}" name="Wins" dataDxfId="147">
      <calculatedColumnFormula array="1">SUMPRODUCT(--('2x2M'!C$31:C$48 = Standings!A52),--('2x2M'!I$31:I$48&gt;'2x2M'!J$31:J$48))+SUMPRODUCT(--('2x2M'!D$31:D$48 = Standings!A52),--('2x2M'!I$31:I$48&lt;'2x2M'!J$31:J$48))</calculatedColumnFormula>
    </tableColumn>
    <tableColumn id="4" xr3:uid="{5BA32C18-F430-40B7-8B06-01AC6F6EC494}" name="Tied" dataDxfId="146">
      <calculatedColumnFormula>+B52-C52-E52</calculatedColumnFormula>
    </tableColumn>
    <tableColumn id="5" xr3:uid="{198E5595-1A24-40A9-98CB-E600A9E5C69D}" name="Losses" dataDxfId="145">
      <calculatedColumnFormula array="1">SUMPRODUCT(--('2x2M'!C$31:C$48 = Standings!A52),--('2x2M'!I$31:I$48&lt;'2x2M'!J$31:J$48))+SUMPRODUCT(--('2x2M'!D$31:D$48 = Standings!A52),--('2x2M'!I$31:I$48&gt;'2x2M'!J$31:J$48))</calculatedColumnFormula>
    </tableColumn>
    <tableColumn id="6" xr3:uid="{72F80FEE-E156-4CA6-8172-1FB17CFDD2A6}" name="Points won" dataDxfId="144">
      <calculatedColumnFormula>+SUMIFS('2x2M'!I$31:J$48,'2x2M'!C$31:D$48,Standings!A52)</calculatedColumnFormula>
    </tableColumn>
    <tableColumn id="7" xr3:uid="{06731E94-30D3-425F-9895-A265DD5F6402}" name="Points lost" dataDxfId="143">
      <calculatedColumnFormula array="1">SUMPRODUCT(--('2x2M'!C$31:C$48=Standings!A52),'2x2M'!J$31:J$48)+SUMPRODUCT(--('2x2M'!D$31:D$48=Standings!A52),'2x2M'!I$31:I$48)</calculatedColumnFormula>
    </tableColumn>
    <tableColumn id="8" xr3:uid="{30D74130-2893-4951-B6A2-34BC39D0A8F0}" name="Score" dataDxfId="142">
      <calculatedColumnFormula>2*(C52*2+D52*1)/3</calculatedColumnFormula>
    </tableColumn>
    <tableColumn id="9" xr3:uid="{461ED2DD-10B1-4467-8840-0607D5119ED6}" name="Points quotient" dataDxfId="141">
      <calculatedColumnFormula>+F52/G52</calculatedColumnFormula>
    </tableColumn>
  </tableColumns>
  <tableStyleInfo name="TableStyleLight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38913D1-2487-4162-A83B-80DA7FD7D02D}" name="Table316" displayName="Table316" ref="A57:I61" totalsRowShown="0" headerRowDxfId="140" dataDxfId="138" headerRowBorderDxfId="139" tableBorderDxfId="137" totalsRowBorderDxfId="136">
  <autoFilter ref="A57:I61" xr:uid="{538913D1-2487-4162-A83B-80DA7FD7D02D}"/>
  <tableColumns count="9">
    <tableColumn id="1" xr3:uid="{C997B42F-42C3-419D-A431-D3F9D0943EC5}" name="Group C" dataDxfId="135">
      <calculatedColumnFormula>+'2x2M'!C24</calculatedColumnFormula>
    </tableColumn>
    <tableColumn id="2" xr3:uid="{5BE91AC8-11E7-46C0-BF6F-A39CF2F8BCB8}" name="Games played" dataDxfId="134">
      <calculatedColumnFormula array="1">SUMPRODUCT(--('2x2M'!C$31:C$48=Standings!A58),--('2x2M'!I$31:I$48&lt;&gt;""))+SUMPRODUCT(--('2x2M'!D$31:D$48=Standings!A58),--('2x2M'!J$31:J$48&lt;&gt;""))</calculatedColumnFormula>
    </tableColumn>
    <tableColumn id="3" xr3:uid="{776BB8E4-37FE-4856-8C3F-2AC6F8F6187E}" name="Wins" dataDxfId="133">
      <calculatedColumnFormula array="1">SUMPRODUCT(--('2x2M'!C$31:C$48 = Standings!A58),--('2x2M'!I$31:I$48&gt;'2x2M'!J$31:J$48))+SUMPRODUCT(--('2x2M'!D$31:D$48 = Standings!A58),--('2x2M'!I$31:I$48&lt;'2x2M'!J$31:J$48))</calculatedColumnFormula>
    </tableColumn>
    <tableColumn id="4" xr3:uid="{F4B86C99-5908-4217-8207-B881FB195788}" name="Tied" dataDxfId="132">
      <calculatedColumnFormula>+B58-C58-E58</calculatedColumnFormula>
    </tableColumn>
    <tableColumn id="5" xr3:uid="{A4878A72-C211-4179-9576-D19710AF028B}" name="Losses" dataDxfId="131">
      <calculatedColumnFormula array="1">SUMPRODUCT(--('2x2M'!C$31:C$48 = Standings!A58),--('2x2M'!I$31:I$48&lt;'2x2M'!J$31:J$48))+SUMPRODUCT(--('2x2M'!D$31:D$48 = Standings!A58),--('2x2M'!I$31:I$48&gt;'2x2M'!J$31:J$48))</calculatedColumnFormula>
    </tableColumn>
    <tableColumn id="6" xr3:uid="{EAAD6760-1DAB-46A8-B93A-5475C451040D}" name="Points won" dataDxfId="130">
      <calculatedColumnFormula>+SUMIFS('2x2M'!I$31:J$48,'2x2M'!C$31:D$48,Standings!A58)</calculatedColumnFormula>
    </tableColumn>
    <tableColumn id="7" xr3:uid="{591C794F-55C8-4187-8B97-F0835D7F0D6A}" name="Points lost" dataDxfId="129">
      <calculatedColumnFormula array="1">SUMPRODUCT(--('2x2M'!C$31:C$48=Standings!A58),'2x2M'!J$31:J$48)+SUMPRODUCT(--('2x2M'!D$31:D$48=Standings!A58),'2x2M'!I$31:I$48)</calculatedColumnFormula>
    </tableColumn>
    <tableColumn id="8" xr3:uid="{993B00B9-4EB3-40E6-8826-61905B8B7814}" name="Score" dataDxfId="128">
      <calculatedColumnFormula>+C58*2+D58*1</calculatedColumnFormula>
    </tableColumn>
    <tableColumn id="9" xr3:uid="{4D72E5CE-FF45-4F9B-9B71-5ABC300516E5}" name="Points quotient" dataDxfId="127">
      <calculatedColumnFormula>+F58/G58</calculatedColumnFormula>
    </tableColumn>
  </tableColumns>
  <tableStyleInfo name="TableStyleLight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6A1E2D1-56BF-41FA-99E9-7CEECD9DAA20}" name="Table417" displayName="Table417" ref="A63:I67" totalsRowShown="0" headerRowDxfId="126" dataDxfId="124" headerRowBorderDxfId="125" tableBorderDxfId="123" totalsRowBorderDxfId="122">
  <autoFilter ref="A63:I67" xr:uid="{26A1E2D1-56BF-41FA-99E9-7CEECD9DAA20}"/>
  <tableColumns count="9">
    <tableColumn id="1" xr3:uid="{620CF8E7-83EB-4F57-9479-AD4EE9AA1226}" name="Group D" dataDxfId="121">
      <calculatedColumnFormula>+'2x2M'!D24</calculatedColumnFormula>
    </tableColumn>
    <tableColumn id="2" xr3:uid="{9DC23BDA-40CC-4961-A2A3-4A808BEF65B8}" name="Games played" dataDxfId="120">
      <calculatedColumnFormula array="1">SUMPRODUCT(--('2x2M'!C$31:C$48=Standings!A64),--('2x2M'!I$31:I$48&lt;&gt;""))+SUMPRODUCT(--('2x2M'!D$31:D$48=Standings!A64),--('2x2M'!J$31:J$48&lt;&gt;""))</calculatedColumnFormula>
    </tableColumn>
    <tableColumn id="3" xr3:uid="{20BBD50D-2EAD-4497-984A-ED2CD803993E}" name="Wins" dataDxfId="119">
      <calculatedColumnFormula array="1">SUMPRODUCT(--('2x2M'!C$31:C$48 = Standings!A64),--('2x2M'!I$31:I$48&gt;'2x2M'!J$31:J$48))+SUMPRODUCT(--('2x2M'!D$31:D$48 = Standings!A64),--('2x2M'!I$31:I$48&lt;'2x2M'!J$31:J$48))</calculatedColumnFormula>
    </tableColumn>
    <tableColumn id="4" xr3:uid="{BEBAF6B5-F1D7-4B70-BD97-671319B75DBA}" name="Tied" dataDxfId="118">
      <calculatedColumnFormula>+B64-C64-E64</calculatedColumnFormula>
    </tableColumn>
    <tableColumn id="5" xr3:uid="{928A89DC-0971-4C34-A9A9-1CF8AD9A5DDA}" name="Losses" dataDxfId="117">
      <calculatedColumnFormula array="1">SUMPRODUCT(--('2x2M'!C$31:C$48 = Standings!A64),--('2x2M'!I$31:I$48&lt;'2x2M'!J$31:J$48))+SUMPRODUCT(--('2x2M'!D$31:D$48 = Standings!A64),--('2x2M'!I$31:I$48&gt;'2x2M'!J$31:J$48))</calculatedColumnFormula>
    </tableColumn>
    <tableColumn id="6" xr3:uid="{40E6E1D9-6D25-4839-B5E1-8BA38E3050E7}" name="Points won" dataDxfId="116">
      <calculatedColumnFormula>+SUMIFS('2x2M'!I$31:J$48,'2x2M'!C$31:D$48,Standings!A64)</calculatedColumnFormula>
    </tableColumn>
    <tableColumn id="7" xr3:uid="{35A69EC4-E44F-41AC-B0FA-AA33FDDAE5C0}" name="Points lost" dataDxfId="115">
      <calculatedColumnFormula array="1">SUMPRODUCT(--('2x2M'!C$31:C$48=Standings!A64),'2x2M'!J$31:J$48)+SUMPRODUCT(--('2x2M'!D$31:D$48=Standings!A64),'2x2M'!I$31:I$48)</calculatedColumnFormula>
    </tableColumn>
    <tableColumn id="8" xr3:uid="{48FDCA65-FEC0-4553-B492-2A34EB2A4080}" name="Score" dataDxfId="114">
      <calculatedColumnFormula>+C64*2+D64*1</calculatedColumnFormula>
    </tableColumn>
    <tableColumn id="9" xr3:uid="{C36FB518-349E-4024-A865-01448B7397E0}" name="Points quotient" dataDxfId="113">
      <calculatedColumnFormula>+F64/G64</calculatedColumnFormula>
    </tableColumn>
  </tableColumns>
  <tableStyleInfo name="TableStyleLight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56201AD-CFF6-4BDD-8EC4-510279A19383}" name="Table11425" displayName="Table11425" ref="A71:I76" totalsRowShown="0" headerRowDxfId="112" dataDxfId="110" headerRowBorderDxfId="111" tableBorderDxfId="109" totalsRowBorderDxfId="108">
  <autoFilter ref="A71:I76" xr:uid="{356201AD-CFF6-4BDD-8EC4-510279A19383}"/>
  <tableColumns count="9">
    <tableColumn id="1" xr3:uid="{1310D549-C617-4E16-A6A2-69BC823028B7}" name="Group A" dataDxfId="107">
      <calculatedColumnFormula>+'2x2M'!#REF!</calculatedColumnFormula>
    </tableColumn>
    <tableColumn id="2" xr3:uid="{B2B6AF5B-1FDB-4794-B66E-F214E5181EAE}" name="Games played" dataDxfId="106">
      <calculatedColumnFormula array="1">SUMPRODUCT(--('2x2 MIX'!AB$13:AB$52 = Standings!A72),--('2x2 MIX'!AG$13:AG$52&lt;&gt;""))+SUMPRODUCT(--('2x2 MIX'!AC$13:AC$52 = Standings!A72),--('2x2 MIX'!AG$13:AG$52&lt;&gt;""))</calculatedColumnFormula>
    </tableColumn>
    <tableColumn id="3" xr3:uid="{E3F15EA1-F80D-44F6-A16E-6B28C8F40586}" name="Wins" dataDxfId="105">
      <calculatedColumnFormula array="1">SUMPRODUCT(--('2x2 MIX'!AB$13:AB$52 = Standings!A72),--('2x2 MIX'!AG$13:AG$52&gt;'2x2 MIX'!AH$13:AH$52))+SUMPRODUCT(--('2x2 MIX'!AC$13:AC$52 = Standings!A72),--('2x2 MIX'!AG$13:AG$52&lt;'2x2 MIX'!AH$13:AH$52))</calculatedColumnFormula>
    </tableColumn>
    <tableColumn id="4" xr3:uid="{47106695-5618-47D7-827D-7DABA8FCC3BB}" name="Tied" dataDxfId="104">
      <calculatedColumnFormula>+B72-C72-E72</calculatedColumnFormula>
    </tableColumn>
    <tableColumn id="5" xr3:uid="{4B4D2ED4-06C6-49B0-9BB2-9128393C0ECF}" name="Losses" dataDxfId="103">
      <calculatedColumnFormula array="1">SUMPRODUCT(--('2x2 MIX'!AB$13:AB$52 = Standings!A72),--('2x2 MIX'!AG$13:AG$52&lt;'2x2 MIX'!AH$13:AH$52))+SUMPRODUCT(--('2x2 MIX'!AC$13:AC$52 = Standings!A72),--('2x2 MIX'!AG$13:AG$52&gt;'2x2 MIX'!AH$13:AH$52))</calculatedColumnFormula>
    </tableColumn>
    <tableColumn id="6" xr3:uid="{882A302B-825A-4FCE-A8B3-7CB52C22CAEA}" name="Points won" dataDxfId="102">
      <calculatedColumnFormula>+SUMIFS('2x2 MIX'!AG$13:AH$52,'2x2 MIX'!AB$13:AC$52,Standings!A72)</calculatedColumnFormula>
    </tableColumn>
    <tableColumn id="7" xr3:uid="{3AA7E231-1ADC-4B31-BC65-6CFF878573F7}" name="Points lost" dataDxfId="101">
      <calculatedColumnFormula array="1">SUMPRODUCT(--('2x2 MIX'!AB$13:AB$52=Standings!A72),'2x2 MIX'!AH$13:AH$52)+SUMPRODUCT(--('2x2 MIX'!AC$13:AC$52=Standings!A72),'2x2 MIX'!AG$13:AG$52)</calculatedColumnFormula>
    </tableColumn>
    <tableColumn id="8" xr3:uid="{C4080CD4-19E7-4468-96CC-4056B7F32179}" name="Score" dataDxfId="100">
      <calculatedColumnFormula>+C72*2+D72*1</calculatedColumnFormula>
    </tableColumn>
    <tableColumn id="9" xr3:uid="{6675525E-D344-4F3C-B782-05608CC2EA2C}" name="Points quotient" dataDxfId="99">
      <calculatedColumnFormula>+F72/G72</calculatedColumnFormula>
    </tableColumn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9096999-92CB-4C32-8A8D-603AF0A3D647}" name="Table21526" displayName="Table21526" ref="A78:I82" totalsRowShown="0" headerRowDxfId="98" dataDxfId="96" headerRowBorderDxfId="97" tableBorderDxfId="95" totalsRowBorderDxfId="94">
  <autoFilter ref="A78:I82" xr:uid="{69096999-92CB-4C32-8A8D-603AF0A3D647}"/>
  <tableColumns count="9">
    <tableColumn id="1" xr3:uid="{244E59AD-D8C0-42EB-BDF7-9AE0CD8536E7}" name="Group B" dataDxfId="93">
      <calculatedColumnFormula>+'2x2F'!B21</calculatedColumnFormula>
    </tableColumn>
    <tableColumn id="2" xr3:uid="{DB9780FB-CF9A-4140-86E8-4B4DEB128321}" name="Games played" dataDxfId="92">
      <calculatedColumnFormula array="1">SUMPRODUCT(--('2x2F'!C$28:C$42=Standings!A79),--('2x2F'!I$28:I$42&lt;&gt;""))+SUMPRODUCT(--('2x2F'!D$28:D$42=Standings!A79),--('2x2F'!J$28:J$42&lt;&gt;""))</calculatedColumnFormula>
    </tableColumn>
    <tableColumn id="3" xr3:uid="{E80CF55A-3BC6-41D8-AEAA-F6C11CAD821D}" name="Wins" dataDxfId="91">
      <calculatedColumnFormula array="1">SUMPRODUCT(--('2x2F'!C$28:C$42 = Standings!A79),--('2x2F'!I$28:I$42&gt;'2x2F'!J$28:J$42))+SUMPRODUCT(--('2x2F'!D$28:D$42 = Standings!A79),--('2x2F'!I$28:I$42&lt;'2x2F'!J$28:J$42))</calculatedColumnFormula>
    </tableColumn>
    <tableColumn id="4" xr3:uid="{8096164F-64E8-45FC-99EA-105F638B6A99}" name="Tied" dataDxfId="90">
      <calculatedColumnFormula>+B79-C79-E79</calculatedColumnFormula>
    </tableColumn>
    <tableColumn id="5" xr3:uid="{21E792C1-4D21-4F42-AA05-046865D6038F}" name="Losses" dataDxfId="89">
      <calculatedColumnFormula array="1">SUMPRODUCT(--('2x2F'!C$28:C$42 = Standings!A79),--('2x2F'!I$28:I$42&lt;'2x2F'!J$28:J$42))+SUMPRODUCT(--('2x2F'!D$28:D$42 = Standings!A79),--('2x2F'!I$28:I$42&gt;'2x2F'!J$28:J$42))</calculatedColumnFormula>
    </tableColumn>
    <tableColumn id="6" xr3:uid="{BAE61F37-824B-4A21-A515-2107CC56B638}" name="Points won" dataDxfId="88">
      <calculatedColumnFormula>+SUMIFS('2x2F'!I$28:J$42,'2x2F'!C$28:D$42,Standings!A79)</calculatedColumnFormula>
    </tableColumn>
    <tableColumn id="7" xr3:uid="{365AF745-A788-444C-92A0-184075AF893D}" name="Points lost" dataDxfId="87">
      <calculatedColumnFormula array="1">SUMPRODUCT(--('2x2F'!C$28:C$42=Standings!A79),'2x2F'!J$28:J$42)+SUMPRODUCT(--('2x2F'!D$28:D$42=Standings!A79),'2x2F'!I$28:I$42)</calculatedColumnFormula>
    </tableColumn>
    <tableColumn id="8" xr3:uid="{9D94AAAC-B6EA-40F0-BE46-3374111B1ED8}" name="Score" dataDxfId="86">
      <calculatedColumnFormula>2*(C79*2+D79*1)/3</calculatedColumnFormula>
    </tableColumn>
    <tableColumn id="9" xr3:uid="{47B5C3E1-CB93-4D73-8BF1-379ECC3BA01B}" name="Points quotient" dataDxfId="85">
      <calculatedColumnFormula>+F79/G79</calculatedColumnFormula>
    </tableColumn>
  </tableColumns>
  <tableStyleInfo name="TableStyleLight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5B58FBC-4BA3-4F32-9C45-D10F0C525B66}" name="Table31627" displayName="Table31627" ref="A84:I88" totalsRowShown="0" headerRowDxfId="84" dataDxfId="82" headerRowBorderDxfId="83" tableBorderDxfId="81" totalsRowBorderDxfId="80">
  <autoFilter ref="A84:I88" xr:uid="{55B58FBC-4BA3-4F32-9C45-D10F0C525B66}"/>
  <tableColumns count="9">
    <tableColumn id="1" xr3:uid="{CBE54A3D-BCE8-432A-9F5B-B4708FE6B490}" name="Group C" dataDxfId="79">
      <calculatedColumnFormula>+'2x2M'!#REF!</calculatedColumnFormula>
    </tableColumn>
    <tableColumn id="2" xr3:uid="{96BBFC6C-FE9B-4EBC-AF68-BC7E76043D61}" name="Games played" dataDxfId="78">
      <calculatedColumnFormula array="1">SUMPRODUCT(--('2x2F'!C$28:C$42=Standings!A85),--('2x2F'!I$28:I$42&lt;&gt;""))+SUMPRODUCT(--('2x2F'!D$28:D$42=Standings!A85),--('2x2F'!J$28:J$42&lt;&gt;""))</calculatedColumnFormula>
    </tableColumn>
    <tableColumn id="3" xr3:uid="{387B7850-DBAE-41B8-8821-85DF4A8C747B}" name="Wins" dataDxfId="77">
      <calculatedColumnFormula array="1">SUMPRODUCT(--('2x2F'!C$28:C$42 = Standings!A85),--('2x2F'!I$28:I$42&gt;'2x2F'!J$28:J$42))+SUMPRODUCT(--('2x2F'!D$28:D$42 = Standings!A85),--('2x2F'!I$28:I$42&lt;'2x2F'!J$28:J$42))</calculatedColumnFormula>
    </tableColumn>
    <tableColumn id="4" xr3:uid="{487A9EA5-FC02-4235-91DC-24F51FE5F226}" name="Tied" dataDxfId="76">
      <calculatedColumnFormula>+B85-C85-E85</calculatedColumnFormula>
    </tableColumn>
    <tableColumn id="5" xr3:uid="{2D032D41-303E-429C-A7A4-6AB000BC897A}" name="Losses" dataDxfId="75">
      <calculatedColumnFormula array="1">SUMPRODUCT(--('2x2F'!C$28:C$42 = Standings!A85),--('2x2F'!I$28:I$42&lt;'2x2F'!J$28:J$42))+SUMPRODUCT(--('2x2F'!D$28:D$42 = Standings!A85),--('2x2F'!I$28:I$42&gt;'2x2F'!J$28:J$42))</calculatedColumnFormula>
    </tableColumn>
    <tableColumn id="6" xr3:uid="{B16DA293-C006-4350-A904-018D1A8EB79B}" name="Points won" dataDxfId="74">
      <calculatedColumnFormula>+SUMIFS('2x2F'!I$28:J$42,'2x2F'!C$28:D$42,Standings!A85)</calculatedColumnFormula>
    </tableColumn>
    <tableColumn id="7" xr3:uid="{816C4322-FAA7-4B6E-AEE4-C70EB78AB6E6}" name="Points lost" dataDxfId="73">
      <calculatedColumnFormula array="1">SUMPRODUCT(--('2x2F'!C$28:C$42=Standings!A85),'2x2F'!J$28:J$42)+SUMPRODUCT(--('2x2F'!D$28:D$42=Standings!A85),'2x2F'!I$28:I$42)</calculatedColumnFormula>
    </tableColumn>
    <tableColumn id="8" xr3:uid="{6765F6D1-8603-4DC2-89E9-15EA1D34675B}" name="Score" dataDxfId="72">
      <calculatedColumnFormula>+C85*2+D85*1</calculatedColumnFormula>
    </tableColumn>
    <tableColumn id="9" xr3:uid="{1B4C4BA4-946F-46FA-8EB9-F9CA2E9403FE}" name="Points quotient" dataDxfId="71">
      <calculatedColumnFormula>+F85/G85</calculatedColumnFormula>
    </tableColumn>
  </tableColumns>
  <tableStyleInfo name="TableStyleLight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2CF7C99-DE12-4D4A-8A80-323F3B116C08}" name="Table11435" displayName="Table11435" ref="A93:I98" totalsRowShown="0" headerRowDxfId="70" dataDxfId="68" headerRowBorderDxfId="69" tableBorderDxfId="67" totalsRowBorderDxfId="66">
  <autoFilter ref="A93:I98" xr:uid="{E2CF7C99-DE12-4D4A-8A80-323F3B116C08}"/>
  <tableColumns count="9">
    <tableColumn id="1" xr3:uid="{0965948F-8D9A-444B-A38D-370FC2EB1D6D}" name="Group A" dataDxfId="65">
      <calculatedColumnFormula>+'2x2M'!U24</calculatedColumnFormula>
    </tableColumn>
    <tableColumn id="2" xr3:uid="{F573BCA6-2AA8-4450-A807-BABDDC2DADD9}" name="Games played" dataDxfId="64">
      <calculatedColumnFormula array="1">SUMPRODUCT(--('2x2 MIX'!AL$13:AL$52 = Standings!A94),--('2x2 MIX'!AQ$13:AQ$52&lt;&gt;""))+SUMPRODUCT(--('2x2 MIX'!AM$13:AM$52 = Standings!A94),--('2x2 MIX'!AQ$13:AQ$52&lt;&gt;""))</calculatedColumnFormula>
    </tableColumn>
    <tableColumn id="3" xr3:uid="{A922BCC2-EEFB-4F28-96A3-7A23070A3704}" name="Wins" dataDxfId="63">
      <calculatedColumnFormula array="1">SUMPRODUCT(--('2x2 MIX'!AL$13:AL$52 = Standings!A94),--('2x2 MIX'!AQ$13:AQ$52&gt;'2x2 MIX'!AR$13:AR$52))+SUMPRODUCT(--('2x2 MIX'!AM$13:AM$52 = Standings!A94),--('2x2 MIX'!AQ$13:AQ$52&lt;'2x2 MIX'!AR$13:AR$52))</calculatedColumnFormula>
    </tableColumn>
    <tableColumn id="4" xr3:uid="{9D2244B7-5BD1-4C32-9371-8F15064605DD}" name="Tied" dataDxfId="62">
      <calculatedColumnFormula>+B94-C94-E94</calculatedColumnFormula>
    </tableColumn>
    <tableColumn id="5" xr3:uid="{D254FE63-8925-471F-A4DD-123BDC99E880}" name="Losses" dataDxfId="61">
      <calculatedColumnFormula array="1">SUMPRODUCT(--('2x2 MIX'!AL$13:AL$52 = Standings!A94),--('2x2 MIX'!AQ$13:AQ$52&lt;'2x2 MIX'!AR$13:AR$52))+SUMPRODUCT(--('2x2 MIX'!AM$13:AM$52 = Standings!A94),--('2x2 MIX'!AQ$13:AQ$52&gt;'2x2 MIX'!AR$13:AR$52))</calculatedColumnFormula>
    </tableColumn>
    <tableColumn id="6" xr3:uid="{DABBF64D-5D29-44CA-92FE-2997A6494E36}" name="Points won" dataDxfId="60">
      <calculatedColumnFormula>+SUMIFS('2x2 MIX'!AQ$13:AR$52,'2x2 MIX'!AL$13:AM$52,Standings!A94)</calculatedColumnFormula>
    </tableColumn>
    <tableColumn id="7" xr3:uid="{47C9B412-8FFD-4C10-A60A-C7A9C548E8F9}" name="Points lost" dataDxfId="59">
      <calculatedColumnFormula array="1">SUMPRODUCT(--('2x2 MIX'!AL$13:AL$52=Standings!A94),'2x2 MIX'!AR$13:AR$52)+SUMPRODUCT(--('2x2 MIX'!AM$13:AM$52=Standings!A94),'2x2 MIX'!AQ$13:AQ$52)</calculatedColumnFormula>
    </tableColumn>
    <tableColumn id="8" xr3:uid="{9B12D567-0336-4770-B463-700042469EE6}" name="Score" dataDxfId="58">
      <calculatedColumnFormula>+C94*2+D94*1</calculatedColumnFormula>
    </tableColumn>
    <tableColumn id="9" xr3:uid="{69340DCE-AD48-4ED2-8718-188DE035CEE4}" name="Points quotient" dataDxfId="57">
      <calculatedColumnFormula>+F94/G94</calculatedColumnFormula>
    </tableColumn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59B9F141-B455-4077-AE3F-AD4CD2DD55F1}" name="Table21536" displayName="Table21536" ref="A100:I104" totalsRowShown="0" headerRowDxfId="56" dataDxfId="54" headerRowBorderDxfId="55" tableBorderDxfId="53" totalsRowBorderDxfId="52">
  <autoFilter ref="A100:I104" xr:uid="{59B9F141-B455-4077-AE3F-AD4CD2DD55F1}"/>
  <tableColumns count="9">
    <tableColumn id="1" xr3:uid="{486F2A12-7311-4873-B07F-539F032430B1}" name="Group B" dataDxfId="51">
      <calculatedColumnFormula>+'2x2M'!V24</calculatedColumnFormula>
    </tableColumn>
    <tableColumn id="2" xr3:uid="{5975E100-707C-4482-94F7-06F746076681}" name="Games played" dataDxfId="50">
      <calculatedColumnFormula array="1">SUMPRODUCT(--('4x4 MIX'!C$29:C$43=Standings!A101),--('4x4 MIX'!I$29:I$43&lt;&gt;""))+SUMPRODUCT(--('4x4 MIX'!D$29:D$43=Standings!A101),--('4x4 MIX'!J$29:J$43&lt;&gt;""))</calculatedColumnFormula>
    </tableColumn>
    <tableColumn id="3" xr3:uid="{97579756-A4D1-4DDB-B07D-9DA6661D5CDE}" name="Wins" dataDxfId="49">
      <calculatedColumnFormula array="1">SUMPRODUCT(--('4x4 MIX'!C$29:C$43 = Standings!A101),--('4x4 MIX'!I$29:I$43&gt;'4x4 MIX'!J$29:J$43))+SUMPRODUCT(--('4x4 MIX'!D$29:D$43 = Standings!A101),--('4x4 MIX'!I$29:I$43&lt;'4x4 MIX'!J$29:J$43))</calculatedColumnFormula>
    </tableColumn>
    <tableColumn id="4" xr3:uid="{AC3133D3-A23E-44E2-A800-241C8575043D}" name="Tied" dataDxfId="48">
      <calculatedColumnFormula>+B101-C101-E101</calculatedColumnFormula>
    </tableColumn>
    <tableColumn id="5" xr3:uid="{F4A5961E-B043-4900-B45A-AD9522F29B73}" name="Losses" dataDxfId="47">
      <calculatedColumnFormula array="1">SUMPRODUCT(--('4x4 MIX'!C$29:C$43 = Standings!A101),--('4x4 MIX'!I$29:I$43&lt;'4x4 MIX'!J$29:J$43))+SUMPRODUCT(--('4x4 MIX'!D$29:D$43 = Standings!A101),--('4x4 MIX'!I$29:I$43&gt;'4x4 MIX'!J$29:J$43))</calculatedColumnFormula>
    </tableColumn>
    <tableColumn id="6" xr3:uid="{2C5FA207-BC36-42E1-BBD5-83ABA06DB63D}" name="Points won" dataDxfId="46">
      <calculatedColumnFormula>+SUMIFS('4x4 MIX'!I$29:J$43,'4x4 MIX'!C$29:D$43,Standings!A101)</calculatedColumnFormula>
    </tableColumn>
    <tableColumn id="7" xr3:uid="{F3548888-E31B-40FE-B442-1F9AD3702825}" name="Points lost" dataDxfId="45">
      <calculatedColumnFormula array="1">SUMPRODUCT(--('4x4 MIX'!C$29:C$43=Standings!A101),'4x4 MIX'!J$29:J$43)+SUMPRODUCT(--('4x4 MIX'!D$29:D$43=Standings!A101),'4x4 MIX'!I$29:I$43)</calculatedColumnFormula>
    </tableColumn>
    <tableColumn id="8" xr3:uid="{29F35894-B8EB-49A9-813B-4562764AAD14}" name="Score" dataDxfId="44">
      <calculatedColumnFormula>+C101*2+D101*1</calculatedColumnFormula>
    </tableColumn>
    <tableColumn id="9" xr3:uid="{12DCEAEA-8FBB-468A-9818-589A0DD09EC4}" name="Points quotient" dataDxfId="43">
      <calculatedColumnFormula>+F101/G101</calculatedColumnFormula>
    </tableColumn>
  </tableColumns>
  <tableStyleInfo name="TableStyleLight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F32EBC8-BAD9-4D24-BABC-D49278F87E44}" name="Table31637" displayName="Table31637" ref="A106:I110" totalsRowShown="0" headerRowDxfId="42" dataDxfId="40" headerRowBorderDxfId="41" tableBorderDxfId="39" totalsRowBorderDxfId="38">
  <autoFilter ref="A106:I110" xr:uid="{0F32EBC8-BAD9-4D24-BABC-D49278F87E44}"/>
  <tableColumns count="9">
    <tableColumn id="1" xr3:uid="{861A2D70-3DFC-40AD-BDC1-544B4AE9133E}" name="Group C" dataDxfId="37">
      <calculatedColumnFormula>+'2x2M'!W24</calculatedColumnFormula>
    </tableColumn>
    <tableColumn id="2" xr3:uid="{185F7A1A-E2AA-42EA-A265-CDA895878FCC}" name="Games played" dataDxfId="36">
      <calculatedColumnFormula array="1">SUMPRODUCT(--('4x4 MIX'!C$29:C$43=Standings!A107),--('4x4 MIX'!I$29:I$43&lt;&gt;""))+SUMPRODUCT(--('4x4 MIX'!D$29:D$43=Standings!A107),--('4x4 MIX'!J$29:J$43&lt;&gt;""))</calculatedColumnFormula>
    </tableColumn>
    <tableColumn id="3" xr3:uid="{9A9224E3-CE58-4611-A572-54467B8AA99A}" name="Wins" dataDxfId="35">
      <calculatedColumnFormula array="1">SUMPRODUCT(--('4x4 MIX'!C$29:C$43 = Standings!A107),--('4x4 MIX'!I$29:I$43&gt;'4x4 MIX'!J$29:J$43))+SUMPRODUCT(--('4x4 MIX'!D$29:D$43 = Standings!A107),--('4x4 MIX'!I$29:I$43&lt;'4x4 MIX'!J$29:J$43))</calculatedColumnFormula>
    </tableColumn>
    <tableColumn id="4" xr3:uid="{2C874BEA-662D-4BD1-A9CE-B46F9DA64DD5}" name="Tied" dataDxfId="34">
      <calculatedColumnFormula>+B107-C107-E107</calculatedColumnFormula>
    </tableColumn>
    <tableColumn id="5" xr3:uid="{0B7DF284-AE33-404E-B322-C9FD4B656211}" name="Losses" dataDxfId="33">
      <calculatedColumnFormula array="1">SUMPRODUCT(--('4x4 MIX'!C$29:C$43 = Standings!A107),--('4x4 MIX'!I$29:I$43&lt;'4x4 MIX'!J$29:J$43))+SUMPRODUCT(--('4x4 MIX'!D$29:D$43 = Standings!A107),--('4x4 MIX'!I$29:I$43&gt;'4x4 MIX'!J$29:J$43))</calculatedColumnFormula>
    </tableColumn>
    <tableColumn id="6" xr3:uid="{F774A960-CEAF-4E39-91DF-2C0612567327}" name="Points won" dataDxfId="32">
      <calculatedColumnFormula>+SUMIFS('4x4 MIX'!I$29:J$43,'4x4 MIX'!C$29:D$43,Standings!A107)</calculatedColumnFormula>
    </tableColumn>
    <tableColumn id="7" xr3:uid="{DE9B1D72-35AF-4DCA-BCD7-D09B8CE3818D}" name="Points lost" dataDxfId="31">
      <calculatedColumnFormula array="1">SUMPRODUCT(--('4x4 MIX'!C$29:C$43=Standings!A107),'4x4 MIX'!J$29:J$43)+SUMPRODUCT(--('4x4 MIX'!D$29:D$43=Standings!A107),'4x4 MIX'!I$29:I$43)</calculatedColumnFormula>
    </tableColumn>
    <tableColumn id="8" xr3:uid="{6713C10B-5749-406F-B6D9-6BBEE26BE28E}" name="Score" dataDxfId="30">
      <calculatedColumnFormula>+C107*2+D107*1</calculatedColumnFormula>
    </tableColumn>
    <tableColumn id="9" xr3:uid="{7F774C18-2251-4C00-8522-F29CC3BBB375}" name="Points quotient" dataDxfId="29">
      <calculatedColumnFormula>+F107/G107</calculatedColumnFormula>
    </tableColumn>
  </tableColumns>
  <tableStyleInfo name="TableStyleLight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B1463E26-7AC8-437E-B533-CD5EB77FA78F}" name="Table41738" displayName="Table41738" ref="A112:I116" totalsRowShown="0" headerRowDxfId="28" dataDxfId="26" headerRowBorderDxfId="27" tableBorderDxfId="25" totalsRowBorderDxfId="24">
  <autoFilter ref="A112:I116" xr:uid="{B1463E26-7AC8-437E-B533-CD5EB77FA78F}"/>
  <tableColumns count="9">
    <tableColumn id="1" xr3:uid="{701780C8-83D8-487A-B966-FA0D84939BD1}" name="Group D" dataDxfId="23">
      <calculatedColumnFormula>+'2x2M'!X24</calculatedColumnFormula>
    </tableColumn>
    <tableColumn id="2" xr3:uid="{9A097506-ACCA-4CC3-BEE7-B1DFA1405E96}" name="Games played" dataDxfId="22">
      <calculatedColumnFormula array="1">SUMPRODUCT(--('4x4 MIX'!C$29:C$43=Standings!A113),--('4x4 MIX'!I$29:I$43&lt;&gt;""))+SUMPRODUCT(--('4x4 MIX'!D$29:D$43=Standings!A113),--('4x4 MIX'!J$29:J$43&lt;&gt;""))</calculatedColumnFormula>
    </tableColumn>
    <tableColumn id="3" xr3:uid="{678555BB-B8A8-4C69-BC76-00E4232B2971}" name="Wins" dataDxfId="21">
      <calculatedColumnFormula array="1">SUMPRODUCT(--('4x4 MIX'!C$29:C$43 = Standings!A113),--('4x4 MIX'!I$29:I$43&gt;'4x4 MIX'!J$29:J$43))+SUMPRODUCT(--('4x4 MIX'!D$29:D$43 = Standings!A113),--('4x4 MIX'!I$29:I$43&lt;'4x4 MIX'!J$29:J$43))</calculatedColumnFormula>
    </tableColumn>
    <tableColumn id="4" xr3:uid="{9E809015-6D11-4F62-93ED-36885684912A}" name="Tied" dataDxfId="20">
      <calculatedColumnFormula>+B113-C113-E113</calculatedColumnFormula>
    </tableColumn>
    <tableColumn id="5" xr3:uid="{3F3883D2-0F49-44D1-A3D4-A7A2D72AE07A}" name="Losses" dataDxfId="19">
      <calculatedColumnFormula array="1">SUMPRODUCT(--('4x4 MIX'!C$29:C$43 = Standings!A113),--('4x4 MIX'!I$29:I$43&lt;'4x4 MIX'!J$29:J$43))+SUMPRODUCT(--('4x4 MIX'!D$29:D$43 = Standings!A113),--('4x4 MIX'!I$29:I$43&gt;'4x4 MIX'!J$29:J$43))</calculatedColumnFormula>
    </tableColumn>
    <tableColumn id="6" xr3:uid="{EF31DA32-7885-49ED-8043-2CD31227197D}" name="Points won" dataDxfId="18">
      <calculatedColumnFormula>+SUMIFS('4x4 MIX'!I$29:J$43,'4x4 MIX'!C$29:D$43,Standings!A113)</calculatedColumnFormula>
    </tableColumn>
    <tableColumn id="7" xr3:uid="{96B5ED5C-A4C8-4507-A236-0E5155266F7D}" name="Points lost" dataDxfId="17">
      <calculatedColumnFormula array="1">SUMPRODUCT(--('4x4 MIX'!C$29:C$43=Standings!A113),'4x4 MIX'!J$29:J$43)+SUMPRODUCT(--('4x4 MIX'!D$29:D$43=Standings!A113),'4x4 MIX'!I$29:I$43)</calculatedColumnFormula>
    </tableColumn>
    <tableColumn id="8" xr3:uid="{862778CA-C95B-4E38-A858-6C4473E3DC86}" name="Score" dataDxfId="16">
      <calculatedColumnFormula>+C113*2+D113*1</calculatedColumnFormula>
    </tableColumn>
    <tableColumn id="9" xr3:uid="{659D8982-185A-4A50-9B8A-42BA16920FFF}" name="Points quotient" dataDxfId="15">
      <calculatedColumnFormula>+F113/G113</calculatedColumnFormula>
    </tableColumn>
  </tableColumns>
  <tableStyleInfo name="TableStyleLight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53FDC0B2-B3E4-4E8F-9BD4-9F4C00C6C339}" name="Table51839" displayName="Table51839" ref="A118:I122" totalsRowShown="0" headerRowDxfId="14" dataDxfId="12" headerRowBorderDxfId="13" tableBorderDxfId="11" totalsRowBorderDxfId="10">
  <autoFilter ref="A118:I122" xr:uid="{53FDC0B2-B3E4-4E8F-9BD4-9F4C00C6C339}"/>
  <tableColumns count="9">
    <tableColumn id="1" xr3:uid="{C5E34F58-C913-4717-86EA-4A08E9E6F0A8}" name="Group E" dataDxfId="9">
      <calculatedColumnFormula>+'2x2M'!Y24</calculatedColumnFormula>
    </tableColumn>
    <tableColumn id="2" xr3:uid="{0877AFDB-E74D-4EE1-99B9-EED6F6F9AAB4}" name="Games played" dataDxfId="8">
      <calculatedColumnFormula array="1">SUMPRODUCT(--('4x4 MIX'!C$29:C$43=Standings!A119),--('4x4 MIX'!I$29:I$43&lt;&gt;""))+SUMPRODUCT(--('4x4 MIX'!D$29:D$43=Standings!A119),--('4x4 MIX'!J$29:J$43&lt;&gt;""))</calculatedColumnFormula>
    </tableColumn>
    <tableColumn id="3" xr3:uid="{4701A15A-4292-4124-82BB-9EBB45475D0C}" name="Wins" dataDxfId="7">
      <calculatedColumnFormula array="1">SUMPRODUCT(--('4x4 MIX'!C$29:C$43 = Standings!A119),--('4x4 MIX'!I$29:I$43&gt;'4x4 MIX'!J$29:J$43))+SUMPRODUCT(--('4x4 MIX'!D$29:D$43 = Standings!A119),--('4x4 MIX'!I$29:I$43&lt;'4x4 MIX'!J$29:J$43))</calculatedColumnFormula>
    </tableColumn>
    <tableColumn id="4" xr3:uid="{FC1001C7-4677-4FEF-B10C-AFD9301FCEC1}" name="Tied" dataDxfId="6">
      <calculatedColumnFormula>+B119-C119-E119</calculatedColumnFormula>
    </tableColumn>
    <tableColumn id="5" xr3:uid="{06A2849B-3663-4504-B344-5E15AA977112}" name="Losses" dataDxfId="5">
      <calculatedColumnFormula array="1">SUMPRODUCT(--('4x4 MIX'!C$29:C$43 = Standings!A119),--('4x4 MIX'!I$29:I$43&lt;'4x4 MIX'!J$29:J$43))+SUMPRODUCT(--('4x4 MIX'!D$29:D$43 = Standings!A119),--('4x4 MIX'!I$29:I$43&gt;'4x4 MIX'!J$29:J$43))</calculatedColumnFormula>
    </tableColumn>
    <tableColumn id="6" xr3:uid="{2F60E474-3C0A-4DC0-8DC3-344DF8D79043}" name="Points won" dataDxfId="4">
      <calculatedColumnFormula>+SUMIFS('4x4 MIX'!I$29:J$43,'4x4 MIX'!C$29:D$43,Standings!A119)</calculatedColumnFormula>
    </tableColumn>
    <tableColumn id="7" xr3:uid="{0881EA0D-6389-4AAF-B997-79F5C7DEA359}" name="Points lost" dataDxfId="3">
      <calculatedColumnFormula array="1">SUMPRODUCT(--('4x4 MIX'!C$29:C$43=Standings!A119),'4x4 MIX'!J$29:J$43)+SUMPRODUCT(--('4x4 MIX'!D$29:D$43=Standings!A119),'4x4 MIX'!I$29:I$43)</calculatedColumnFormula>
    </tableColumn>
    <tableColumn id="8" xr3:uid="{C583C8D5-E60F-409E-B986-7F2569050CB1}" name="Score" dataDxfId="2">
      <calculatedColumnFormula>+C119*2+D119*1</calculatedColumnFormula>
    </tableColumn>
    <tableColumn id="9" xr3:uid="{B639C086-0379-434B-9DD2-FAB83D5F35D1}" name="Points quotient" dataDxfId="1">
      <calculatedColumnFormula>+F119/G119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0D81A-2C87-4A94-86CD-85AB8D4EDDDA}">
  <dimension ref="A2:D6"/>
  <sheetViews>
    <sheetView workbookViewId="0">
      <selection activeCell="K16" sqref="K16"/>
    </sheetView>
  </sheetViews>
  <sheetFormatPr defaultRowHeight="15"/>
  <cols>
    <col min="1" max="1" width="26.7109375" bestFit="1" customWidth="1"/>
  </cols>
  <sheetData>
    <row r="2" spans="1:4">
      <c r="A2" s="1" t="s">
        <v>0</v>
      </c>
    </row>
    <row r="3" spans="1:4">
      <c r="A3" s="1" t="s">
        <v>3</v>
      </c>
      <c r="C3" s="4">
        <v>0.375</v>
      </c>
    </row>
    <row r="4" spans="1:4">
      <c r="A4" s="1" t="s">
        <v>13</v>
      </c>
      <c r="C4" s="6">
        <v>23</v>
      </c>
      <c r="D4" s="1" t="s">
        <v>14</v>
      </c>
    </row>
    <row r="5" spans="1:4">
      <c r="A5" s="1" t="s">
        <v>20</v>
      </c>
      <c r="C5" s="4">
        <v>0.375</v>
      </c>
    </row>
    <row r="6" spans="1:4">
      <c r="A6" s="1" t="s">
        <v>27</v>
      </c>
      <c r="C6" s="4">
        <v>0.4375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topLeftCell="A6" zoomScale="70" zoomScaleNormal="70" workbookViewId="0">
      <selection activeCell="K10" sqref="K10"/>
    </sheetView>
  </sheetViews>
  <sheetFormatPr defaultColWidth="12.5703125" defaultRowHeight="15" customHeight="1"/>
  <cols>
    <col min="1" max="1" width="18.5703125" customWidth="1"/>
    <col min="2" max="2" width="24.7109375" customWidth="1"/>
    <col min="3" max="3" width="21.42578125" customWidth="1"/>
    <col min="4" max="4" width="26.5703125" customWidth="1"/>
    <col min="5" max="5" width="26.85546875" bestFit="1" customWidth="1"/>
    <col min="6" max="6" width="24" customWidth="1"/>
    <col min="7" max="7" width="25.28515625" bestFit="1" customWidth="1"/>
    <col min="8" max="8" width="25.7109375" style="87" bestFit="1" customWidth="1"/>
    <col min="9" max="9" width="9.85546875" customWidth="1"/>
    <col min="10" max="10" width="13.85546875" customWidth="1"/>
    <col min="11" max="11" width="37.5703125" bestFit="1" customWidth="1"/>
    <col min="12" max="12" width="16" bestFit="1" customWidth="1"/>
    <col min="13" max="13" width="26.7109375" bestFit="1" customWidth="1"/>
    <col min="14" max="14" width="17.7109375" bestFit="1" customWidth="1"/>
    <col min="15" max="15" width="15" bestFit="1" customWidth="1"/>
    <col min="16" max="16" width="26.7109375" bestFit="1" customWidth="1"/>
    <col min="17" max="17" width="19.140625" customWidth="1"/>
    <col min="18" max="27" width="7.5703125" customWidth="1"/>
  </cols>
  <sheetData>
    <row r="1" spans="1:11">
      <c r="A1" s="2" t="s">
        <v>1</v>
      </c>
      <c r="B1" s="3" t="s">
        <v>144</v>
      </c>
    </row>
    <row r="2" spans="1:11"/>
    <row r="3" spans="1:11">
      <c r="B3" s="13" t="s">
        <v>6</v>
      </c>
      <c r="C3" s="175" t="s">
        <v>7</v>
      </c>
      <c r="D3" s="176"/>
      <c r="E3" s="176"/>
      <c r="F3" s="176"/>
      <c r="G3" s="176"/>
      <c r="H3" s="177"/>
      <c r="I3" s="178"/>
      <c r="J3" s="13" t="s">
        <v>5</v>
      </c>
      <c r="K3" s="2"/>
    </row>
    <row r="4" spans="1:11" ht="18" customHeight="1">
      <c r="B4" s="7" t="s">
        <v>145</v>
      </c>
      <c r="C4" s="111" t="s">
        <v>109</v>
      </c>
      <c r="D4" s="111" t="s">
        <v>22</v>
      </c>
      <c r="E4" s="111" t="s">
        <v>21</v>
      </c>
      <c r="F4" s="111" t="s">
        <v>16</v>
      </c>
      <c r="G4" s="112" t="s">
        <v>17</v>
      </c>
      <c r="H4" s="113" t="s">
        <v>199</v>
      </c>
      <c r="I4" s="114"/>
      <c r="J4" s="10" t="s">
        <v>15</v>
      </c>
    </row>
    <row r="5" spans="1:11" ht="18" customHeight="1">
      <c r="B5" s="7" t="s">
        <v>146</v>
      </c>
      <c r="C5" s="111" t="s">
        <v>74</v>
      </c>
      <c r="D5" s="111" t="s">
        <v>77</v>
      </c>
      <c r="E5" s="111" t="s">
        <v>39</v>
      </c>
      <c r="F5" s="111" t="s">
        <v>35</v>
      </c>
      <c r="G5" s="112" t="s">
        <v>29</v>
      </c>
      <c r="H5" s="115"/>
      <c r="I5" s="114"/>
      <c r="J5" s="10" t="s">
        <v>28</v>
      </c>
    </row>
    <row r="6" spans="1:11" ht="18" customHeight="1">
      <c r="B6" s="7" t="s">
        <v>147</v>
      </c>
      <c r="C6" s="111" t="s">
        <v>121</v>
      </c>
      <c r="D6" s="111" t="s">
        <v>73</v>
      </c>
      <c r="E6" s="111" t="s">
        <v>37</v>
      </c>
      <c r="F6" s="111" t="s">
        <v>156</v>
      </c>
      <c r="G6" s="112" t="s">
        <v>157</v>
      </c>
      <c r="H6" s="116" t="s">
        <v>38</v>
      </c>
      <c r="I6" s="114"/>
      <c r="J6" s="10" t="s">
        <v>28</v>
      </c>
    </row>
    <row r="7" spans="1:11" ht="37.5" customHeight="1">
      <c r="B7" s="7" t="s">
        <v>148</v>
      </c>
      <c r="C7" s="111" t="s">
        <v>81</v>
      </c>
      <c r="D7" s="111" t="s">
        <v>82</v>
      </c>
      <c r="E7" s="111" t="s">
        <v>158</v>
      </c>
      <c r="F7" s="111" t="s">
        <v>40</v>
      </c>
      <c r="G7" s="112" t="s">
        <v>159</v>
      </c>
      <c r="H7" s="116"/>
      <c r="I7" s="114"/>
      <c r="J7" s="10" t="s">
        <v>28</v>
      </c>
    </row>
    <row r="8" spans="1:11" ht="18" customHeight="1">
      <c r="B8" s="7" t="s">
        <v>149</v>
      </c>
      <c r="C8" s="111" t="s">
        <v>42</v>
      </c>
      <c r="D8" s="111" t="s">
        <v>87</v>
      </c>
      <c r="E8" s="111" t="s">
        <v>88</v>
      </c>
      <c r="F8" s="111" t="s">
        <v>43</v>
      </c>
      <c r="G8" s="112" t="s">
        <v>99</v>
      </c>
      <c r="H8" s="116"/>
      <c r="I8" s="114"/>
      <c r="J8" s="10" t="s">
        <v>41</v>
      </c>
    </row>
    <row r="9" spans="1:11" ht="18" customHeight="1">
      <c r="B9" s="7" t="s">
        <v>150</v>
      </c>
      <c r="C9" s="111" t="s">
        <v>89</v>
      </c>
      <c r="D9" s="111" t="s">
        <v>90</v>
      </c>
      <c r="E9" s="111" t="s">
        <v>132</v>
      </c>
      <c r="F9" s="111" t="s">
        <v>46</v>
      </c>
      <c r="G9" s="112" t="s">
        <v>47</v>
      </c>
      <c r="H9" s="116" t="s">
        <v>55</v>
      </c>
      <c r="I9" s="114"/>
      <c r="J9" s="10" t="s">
        <v>45</v>
      </c>
    </row>
    <row r="10" spans="1:11" ht="18" customHeight="1">
      <c r="B10" s="7" t="s">
        <v>242</v>
      </c>
      <c r="C10" s="111" t="s">
        <v>135</v>
      </c>
      <c r="D10" s="111" t="s">
        <v>133</v>
      </c>
      <c r="E10" s="111" t="s">
        <v>60</v>
      </c>
      <c r="F10" s="111" t="s">
        <v>59</v>
      </c>
      <c r="G10" s="112" t="s">
        <v>61</v>
      </c>
      <c r="H10" s="116" t="s">
        <v>134</v>
      </c>
      <c r="I10" s="114"/>
      <c r="J10" s="10" t="s">
        <v>58</v>
      </c>
    </row>
    <row r="11" spans="1:11" ht="18" customHeight="1">
      <c r="B11" s="7" t="s">
        <v>151</v>
      </c>
      <c r="C11" s="111" t="s">
        <v>92</v>
      </c>
      <c r="D11" s="111" t="s">
        <v>91</v>
      </c>
      <c r="E11" s="111" t="s">
        <v>64</v>
      </c>
      <c r="F11" s="111" t="s">
        <v>93</v>
      </c>
      <c r="G11" s="112" t="s">
        <v>96</v>
      </c>
      <c r="H11" s="116"/>
      <c r="I11" s="116"/>
      <c r="J11" s="10" t="s">
        <v>63</v>
      </c>
    </row>
    <row r="12" spans="1:11" ht="18" customHeight="1">
      <c r="B12" s="7" t="s">
        <v>152</v>
      </c>
      <c r="C12" s="111" t="s">
        <v>95</v>
      </c>
      <c r="D12" s="111" t="s">
        <v>160</v>
      </c>
      <c r="E12" s="111" t="s">
        <v>94</v>
      </c>
      <c r="F12" s="111" t="s">
        <v>65</v>
      </c>
      <c r="G12" s="112" t="s">
        <v>161</v>
      </c>
      <c r="H12" s="116"/>
      <c r="I12" s="116"/>
      <c r="J12" s="10" t="s">
        <v>63</v>
      </c>
    </row>
    <row r="13" spans="1:11" ht="18" customHeight="1">
      <c r="B13" s="91" t="s">
        <v>153</v>
      </c>
      <c r="C13" s="111" t="s">
        <v>98</v>
      </c>
      <c r="D13" s="111" t="s">
        <v>136</v>
      </c>
      <c r="E13" s="117" t="s">
        <v>200</v>
      </c>
      <c r="F13" s="117" t="s">
        <v>202</v>
      </c>
      <c r="G13" s="111"/>
      <c r="H13" s="118"/>
      <c r="I13" s="118"/>
      <c r="J13" s="10" t="s">
        <v>97</v>
      </c>
    </row>
    <row r="14" spans="1:11" ht="18" customHeight="1">
      <c r="B14" s="7" t="s">
        <v>154</v>
      </c>
      <c r="C14" s="111" t="s">
        <v>140</v>
      </c>
      <c r="D14" s="111" t="s">
        <v>162</v>
      </c>
      <c r="E14" s="111" t="s">
        <v>163</v>
      </c>
      <c r="F14" s="111" t="s">
        <v>139</v>
      </c>
      <c r="G14" s="111"/>
      <c r="H14" s="111"/>
      <c r="I14" s="111"/>
      <c r="J14" s="10" t="s">
        <v>137</v>
      </c>
    </row>
    <row r="15" spans="1:11" ht="18" customHeight="1">
      <c r="B15" s="7" t="s">
        <v>155</v>
      </c>
      <c r="C15" s="111" t="s">
        <v>138</v>
      </c>
      <c r="D15" s="111" t="s">
        <v>164</v>
      </c>
      <c r="E15" s="111" t="s">
        <v>141</v>
      </c>
      <c r="F15" s="111" t="s">
        <v>165</v>
      </c>
      <c r="G15" s="111"/>
      <c r="H15" s="111"/>
      <c r="I15" s="111"/>
      <c r="J15" s="10" t="s">
        <v>137</v>
      </c>
    </row>
    <row r="16" spans="1:11" ht="18" customHeight="1">
      <c r="B16" s="90" t="s">
        <v>218</v>
      </c>
      <c r="C16" s="111" t="s">
        <v>166</v>
      </c>
      <c r="D16" s="111" t="s">
        <v>167</v>
      </c>
      <c r="E16" s="111" t="s">
        <v>142</v>
      </c>
      <c r="F16" s="111" t="s">
        <v>102</v>
      </c>
      <c r="G16" s="111"/>
      <c r="H16" s="111"/>
      <c r="I16" s="119"/>
      <c r="J16" s="168" t="s">
        <v>66</v>
      </c>
    </row>
    <row r="17" spans="1:10" ht="18" customHeight="1">
      <c r="B17" s="7" t="s">
        <v>237</v>
      </c>
      <c r="C17" s="111" t="s">
        <v>67</v>
      </c>
      <c r="D17" s="111" t="s">
        <v>68</v>
      </c>
      <c r="E17" s="111" t="s">
        <v>69</v>
      </c>
      <c r="F17" s="111" t="s">
        <v>101</v>
      </c>
      <c r="G17" s="111" t="s">
        <v>103</v>
      </c>
      <c r="H17" s="111"/>
      <c r="I17" s="119"/>
      <c r="J17" s="168" t="s">
        <v>66</v>
      </c>
    </row>
    <row r="18" spans="1:10" ht="18" customHeight="1">
      <c r="B18" s="7" t="s">
        <v>216</v>
      </c>
      <c r="C18" s="117" t="s">
        <v>207</v>
      </c>
      <c r="D18" s="120" t="s">
        <v>243</v>
      </c>
      <c r="E18" s="120" t="s">
        <v>239</v>
      </c>
      <c r="F18" s="120" t="s">
        <v>184</v>
      </c>
      <c r="G18" s="111" t="s">
        <v>100</v>
      </c>
      <c r="H18" s="111" t="s">
        <v>143</v>
      </c>
      <c r="I18" s="119"/>
      <c r="J18" s="10" t="s">
        <v>66</v>
      </c>
    </row>
    <row r="19" spans="1:10" ht="15.75" customHeight="1"/>
    <row r="20" spans="1:10" ht="15.75" customHeight="1">
      <c r="A20" s="2">
        <f>+COUNTA(B4:B18)</f>
        <v>15</v>
      </c>
    </row>
    <row r="21" spans="1:10" ht="21.75" thickBot="1">
      <c r="A21" s="180" t="s">
        <v>4</v>
      </c>
      <c r="B21" s="180"/>
      <c r="C21" s="180"/>
      <c r="D21" s="180"/>
      <c r="E21" s="180"/>
      <c r="F21" s="37"/>
    </row>
    <row r="22" spans="1:10" ht="15.75" customHeight="1">
      <c r="A22" s="39" t="s">
        <v>8</v>
      </c>
      <c r="B22" s="40" t="s">
        <v>9</v>
      </c>
      <c r="C22" s="40" t="s">
        <v>10</v>
      </c>
      <c r="D22" s="40" t="s">
        <v>11</v>
      </c>
      <c r="E22" s="41" t="s">
        <v>12</v>
      </c>
    </row>
    <row r="23" spans="1:10" ht="15.75" customHeight="1">
      <c r="A23" s="45" t="str">
        <f>+B4</f>
        <v>EUIPO 5</v>
      </c>
      <c r="B23" s="18" t="str">
        <f>+B5</f>
        <v>Dandy Dandelions</v>
      </c>
      <c r="C23" s="18" t="str">
        <f>+B6</f>
        <v>Aperol</v>
      </c>
      <c r="D23" s="18" t="str">
        <f>+B7</f>
        <v>Ferwanek</v>
      </c>
      <c r="E23" s="46" t="str">
        <f>+B8</f>
        <v>Sometimes maybe good</v>
      </c>
    </row>
    <row r="24" spans="1:10" ht="15.75" customHeight="1">
      <c r="A24" s="45" t="str">
        <f>+B9</f>
        <v>EFSA 6</v>
      </c>
      <c r="B24" s="18" t="str">
        <f>+B10</f>
        <v>House of Medici</v>
      </c>
      <c r="C24" s="18" t="str">
        <f>+B11</f>
        <v>EUAA Comets</v>
      </c>
      <c r="D24" s="18" t="str">
        <f>+B12</f>
        <v>Mela Blinders</v>
      </c>
      <c r="E24" s="46" t="str">
        <f>+B13</f>
        <v>EUROPOL 4 MIX</v>
      </c>
    </row>
    <row r="25" spans="1:10" ht="15.75" customHeight="1" thickBot="1">
      <c r="A25" s="47" t="str">
        <f>+B14</f>
        <v>Horizon setters</v>
      </c>
      <c r="B25" s="48" t="str">
        <f>+B15</f>
        <v>REALL</v>
      </c>
      <c r="C25" s="48" t="str">
        <f>+B16</f>
        <v>Che fastidio</v>
      </c>
      <c r="D25" s="48" t="str">
        <f>+B17</f>
        <v>Sand by me</v>
      </c>
      <c r="E25" s="49" t="str">
        <f>+B18</f>
        <v>Upsand Down</v>
      </c>
    </row>
    <row r="26" spans="1:10" ht="15.75" customHeight="1"/>
    <row r="27" spans="1:10" ht="15.75" customHeight="1" thickBot="1">
      <c r="C27" s="8" t="s">
        <v>44</v>
      </c>
      <c r="H27" t="s">
        <v>205</v>
      </c>
      <c r="I27" s="179" t="s">
        <v>185</v>
      </c>
      <c r="J27" s="179"/>
    </row>
    <row r="28" spans="1:10" ht="15.75" customHeight="1">
      <c r="A28" s="67" t="s">
        <v>48</v>
      </c>
      <c r="B28" s="68" t="s">
        <v>49</v>
      </c>
      <c r="C28" s="69" t="s">
        <v>50</v>
      </c>
      <c r="D28" s="70" t="s">
        <v>51</v>
      </c>
      <c r="E28" s="70" t="s">
        <v>52</v>
      </c>
      <c r="F28" s="70" t="s">
        <v>53</v>
      </c>
      <c r="G28" s="70" t="s">
        <v>54</v>
      </c>
      <c r="H28" s="72"/>
      <c r="I28" s="136"/>
      <c r="J28" s="72"/>
    </row>
    <row r="29" spans="1:10" ht="15.75" customHeight="1">
      <c r="A29" s="45" t="s">
        <v>168</v>
      </c>
      <c r="B29" s="18" t="s">
        <v>10</v>
      </c>
      <c r="C29" s="18" t="str">
        <f>+C23</f>
        <v>Aperol</v>
      </c>
      <c r="D29" s="18" t="str">
        <f>+C24</f>
        <v>EUAA Comets</v>
      </c>
      <c r="E29" s="19">
        <v>3</v>
      </c>
      <c r="F29" s="21">
        <v>46186</v>
      </c>
      <c r="G29" s="84">
        <f>'General settings'!C$3</f>
        <v>0.375</v>
      </c>
      <c r="H29" s="73" t="str">
        <f>+D34</f>
        <v>Che fastidio</v>
      </c>
      <c r="I29" s="137"/>
      <c r="J29" s="73"/>
    </row>
    <row r="30" spans="1:10" ht="15.75" customHeight="1">
      <c r="A30" s="45" t="s">
        <v>168</v>
      </c>
      <c r="B30" s="18" t="s">
        <v>9</v>
      </c>
      <c r="C30" s="18" t="str">
        <f>+B23</f>
        <v>Dandy Dandelions</v>
      </c>
      <c r="D30" s="18" t="str">
        <f>+B24</f>
        <v>House of Medici</v>
      </c>
      <c r="E30" s="19">
        <v>4</v>
      </c>
      <c r="F30" s="21">
        <v>46186</v>
      </c>
      <c r="G30" s="84">
        <f>'General settings'!C$3</f>
        <v>0.375</v>
      </c>
      <c r="H30" s="73" t="str">
        <f>+D35</f>
        <v>REALL</v>
      </c>
      <c r="I30" s="137"/>
      <c r="J30" s="73"/>
    </row>
    <row r="31" spans="1:10" ht="15.75" customHeight="1">
      <c r="A31" s="45" t="s">
        <v>168</v>
      </c>
      <c r="B31" s="18" t="s">
        <v>8</v>
      </c>
      <c r="C31" s="18" t="str">
        <f>+A23</f>
        <v>EUIPO 5</v>
      </c>
      <c r="D31" s="18" t="str">
        <f>+A24</f>
        <v>EFSA 6</v>
      </c>
      <c r="E31" s="19">
        <v>1</v>
      </c>
      <c r="F31" s="21">
        <v>46186</v>
      </c>
      <c r="G31" s="84">
        <f>'General settings'!C$3</f>
        <v>0.375</v>
      </c>
      <c r="H31" s="73" t="str">
        <f>+D36</f>
        <v>Horizon setters</v>
      </c>
      <c r="I31" s="137"/>
      <c r="J31" s="73"/>
    </row>
    <row r="32" spans="1:10" ht="15.75" customHeight="1">
      <c r="A32" s="45" t="s">
        <v>168</v>
      </c>
      <c r="B32" s="18" t="s">
        <v>11</v>
      </c>
      <c r="C32" s="18" t="str">
        <f>+D23</f>
        <v>Ferwanek</v>
      </c>
      <c r="D32" s="18" t="str">
        <f>+D24</f>
        <v>Mela Blinders</v>
      </c>
      <c r="E32" s="19">
        <v>2</v>
      </c>
      <c r="F32" s="21">
        <v>46186</v>
      </c>
      <c r="G32" s="84">
        <f>'General settings'!C$3</f>
        <v>0.375</v>
      </c>
      <c r="H32" s="73" t="str">
        <f>+D37</f>
        <v>Sand by me</v>
      </c>
      <c r="I32" s="137"/>
      <c r="J32" s="73"/>
    </row>
    <row r="33" spans="1:10" ht="15.75" customHeight="1">
      <c r="A33" s="45" t="s">
        <v>168</v>
      </c>
      <c r="B33" s="18" t="s">
        <v>12</v>
      </c>
      <c r="C33" s="18" t="str">
        <f>+E23</f>
        <v>Sometimes maybe good</v>
      </c>
      <c r="D33" s="18" t="str">
        <f>+E24</f>
        <v>EUROPOL 4 MIX</v>
      </c>
      <c r="E33" s="19">
        <v>3</v>
      </c>
      <c r="F33" s="21">
        <v>46186</v>
      </c>
      <c r="G33" s="84">
        <f>G29+'General settings'!C$4/1440</f>
        <v>0.39097222222222222</v>
      </c>
      <c r="H33" s="73" t="str">
        <f>+D38</f>
        <v>Upsand Down</v>
      </c>
      <c r="I33" s="137"/>
      <c r="J33" s="73"/>
    </row>
    <row r="34" spans="1:10" ht="15.75" customHeight="1">
      <c r="A34" s="45" t="s">
        <v>168</v>
      </c>
      <c r="B34" s="18" t="s">
        <v>10</v>
      </c>
      <c r="C34" s="18" t="str">
        <f>+C24</f>
        <v>EUAA Comets</v>
      </c>
      <c r="D34" s="18" t="str">
        <f>+C25</f>
        <v>Che fastidio</v>
      </c>
      <c r="E34" s="19">
        <v>4</v>
      </c>
      <c r="F34" s="21">
        <v>46186</v>
      </c>
      <c r="G34" s="84">
        <f>G30+'General settings'!C$4/1440</f>
        <v>0.39097222222222222</v>
      </c>
      <c r="H34" s="73" t="str">
        <f>+C39</f>
        <v>Aperol</v>
      </c>
      <c r="I34" s="137"/>
      <c r="J34" s="73"/>
    </row>
    <row r="35" spans="1:10" ht="15.75" customHeight="1">
      <c r="A35" s="45" t="s">
        <v>168</v>
      </c>
      <c r="B35" s="18" t="s">
        <v>9</v>
      </c>
      <c r="C35" s="18" t="str">
        <f>+B24</f>
        <v>House of Medici</v>
      </c>
      <c r="D35" s="18" t="str">
        <f>+B25</f>
        <v>REALL</v>
      </c>
      <c r="E35" s="19">
        <v>1</v>
      </c>
      <c r="F35" s="21">
        <v>46186</v>
      </c>
      <c r="G35" s="84">
        <f>G31+'General settings'!C$4/1440</f>
        <v>0.39097222222222222</v>
      </c>
      <c r="H35" s="73" t="str">
        <f>+C40</f>
        <v>Dandy Dandelions</v>
      </c>
      <c r="I35" s="137"/>
      <c r="J35" s="73"/>
    </row>
    <row r="36" spans="1:10" ht="15.75" customHeight="1">
      <c r="A36" s="45" t="s">
        <v>168</v>
      </c>
      <c r="B36" s="18" t="s">
        <v>8</v>
      </c>
      <c r="C36" s="18" t="str">
        <f>+A24</f>
        <v>EFSA 6</v>
      </c>
      <c r="D36" s="18" t="str">
        <f>+A25</f>
        <v>Horizon setters</v>
      </c>
      <c r="E36" s="19">
        <v>2</v>
      </c>
      <c r="F36" s="21">
        <v>46186</v>
      </c>
      <c r="G36" s="84">
        <f>G32+'General settings'!C$4/1440</f>
        <v>0.39097222222222222</v>
      </c>
      <c r="H36" s="73" t="str">
        <f>+C41</f>
        <v>EUIPO 5</v>
      </c>
      <c r="I36" s="137"/>
      <c r="J36" s="73"/>
    </row>
    <row r="37" spans="1:10" ht="15.75" customHeight="1">
      <c r="A37" s="45" t="s">
        <v>168</v>
      </c>
      <c r="B37" s="18" t="s">
        <v>11</v>
      </c>
      <c r="C37" s="18" t="str">
        <f>+D24</f>
        <v>Mela Blinders</v>
      </c>
      <c r="D37" s="18" t="str">
        <f>+D25</f>
        <v>Sand by me</v>
      </c>
      <c r="E37" s="19">
        <v>3</v>
      </c>
      <c r="F37" s="21">
        <v>46186</v>
      </c>
      <c r="G37" s="84">
        <f>G33+'General settings'!C$4/1440</f>
        <v>0.40694444444444444</v>
      </c>
      <c r="H37" s="73" t="str">
        <f>+C42</f>
        <v>Ferwanek</v>
      </c>
      <c r="I37" s="137"/>
      <c r="J37" s="73"/>
    </row>
    <row r="38" spans="1:10" ht="15.75" customHeight="1">
      <c r="A38" s="45" t="s">
        <v>168</v>
      </c>
      <c r="B38" s="18" t="s">
        <v>12</v>
      </c>
      <c r="C38" s="18" t="str">
        <f>+E24</f>
        <v>EUROPOL 4 MIX</v>
      </c>
      <c r="D38" s="18" t="str">
        <f>+E25</f>
        <v>Upsand Down</v>
      </c>
      <c r="E38" s="19">
        <v>4</v>
      </c>
      <c r="F38" s="21">
        <v>46186</v>
      </c>
      <c r="G38" s="84">
        <f>G34+'General settings'!C$4/1440</f>
        <v>0.40694444444444444</v>
      </c>
      <c r="H38" s="73" t="str">
        <f>+C43</f>
        <v>Sometimes maybe good</v>
      </c>
      <c r="I38" s="137"/>
      <c r="J38" s="73"/>
    </row>
    <row r="39" spans="1:10" ht="15.75" customHeight="1">
      <c r="A39" s="45" t="s">
        <v>168</v>
      </c>
      <c r="B39" s="18" t="s">
        <v>10</v>
      </c>
      <c r="C39" s="18" t="str">
        <f>+C23</f>
        <v>Aperol</v>
      </c>
      <c r="D39" s="18" t="str">
        <f>+C25</f>
        <v>Che fastidio</v>
      </c>
      <c r="E39" s="19">
        <v>1</v>
      </c>
      <c r="F39" s="21">
        <v>46186</v>
      </c>
      <c r="G39" s="84">
        <f>G35+'General settings'!C$4/1440</f>
        <v>0.40694444444444444</v>
      </c>
      <c r="H39" s="73" t="str">
        <f>+D29</f>
        <v>EUAA Comets</v>
      </c>
      <c r="I39" s="137"/>
      <c r="J39" s="73"/>
    </row>
    <row r="40" spans="1:10" ht="15.75" customHeight="1">
      <c r="A40" s="45" t="s">
        <v>168</v>
      </c>
      <c r="B40" s="18" t="s">
        <v>9</v>
      </c>
      <c r="C40" s="18" t="str">
        <f>+B23</f>
        <v>Dandy Dandelions</v>
      </c>
      <c r="D40" s="18" t="str">
        <f>+B25</f>
        <v>REALL</v>
      </c>
      <c r="E40" s="19">
        <v>2</v>
      </c>
      <c r="F40" s="21">
        <v>46186</v>
      </c>
      <c r="G40" s="84">
        <f>G36+'General settings'!C$4/1440</f>
        <v>0.40694444444444444</v>
      </c>
      <c r="H40" s="73" t="str">
        <f>+D30</f>
        <v>House of Medici</v>
      </c>
      <c r="I40" s="137"/>
      <c r="J40" s="73"/>
    </row>
    <row r="41" spans="1:10" ht="15.75" customHeight="1">
      <c r="A41" s="45" t="s">
        <v>168</v>
      </c>
      <c r="B41" s="18" t="s">
        <v>8</v>
      </c>
      <c r="C41" s="18" t="str">
        <f>+A23</f>
        <v>EUIPO 5</v>
      </c>
      <c r="D41" s="18" t="str">
        <f>+A25</f>
        <v>Horizon setters</v>
      </c>
      <c r="E41" s="19">
        <v>3</v>
      </c>
      <c r="F41" s="21">
        <v>46186</v>
      </c>
      <c r="G41" s="84">
        <f>G39+'General settings'!C$4/1440</f>
        <v>0.42291666666666666</v>
      </c>
      <c r="H41" s="73" t="str">
        <f>+D31</f>
        <v>EFSA 6</v>
      </c>
      <c r="I41" s="137"/>
      <c r="J41" s="73"/>
    </row>
    <row r="42" spans="1:10" ht="15.75" customHeight="1">
      <c r="A42" s="45" t="s">
        <v>168</v>
      </c>
      <c r="B42" s="18" t="s">
        <v>11</v>
      </c>
      <c r="C42" s="18" t="str">
        <f>+D23</f>
        <v>Ferwanek</v>
      </c>
      <c r="D42" s="18" t="str">
        <f>+D25</f>
        <v>Sand by me</v>
      </c>
      <c r="E42" s="19">
        <v>4</v>
      </c>
      <c r="F42" s="21">
        <v>46186</v>
      </c>
      <c r="G42" s="84">
        <f>G40+'General settings'!C$4/1440</f>
        <v>0.42291666666666666</v>
      </c>
      <c r="H42" s="73" t="str">
        <f>+D32</f>
        <v>Mela Blinders</v>
      </c>
      <c r="I42" s="137"/>
      <c r="J42" s="73"/>
    </row>
    <row r="43" spans="1:10" ht="15.75" customHeight="1">
      <c r="A43" s="45" t="s">
        <v>168</v>
      </c>
      <c r="B43" s="18" t="s">
        <v>12</v>
      </c>
      <c r="C43" s="18" t="str">
        <f>+E23</f>
        <v>Sometimes maybe good</v>
      </c>
      <c r="D43" s="18" t="str">
        <f>+E25</f>
        <v>Upsand Down</v>
      </c>
      <c r="E43" s="19">
        <v>1</v>
      </c>
      <c r="F43" s="21">
        <v>46186</v>
      </c>
      <c r="G43" s="84">
        <f>G39+'General settings'!C$4/1440</f>
        <v>0.42291666666666666</v>
      </c>
      <c r="H43" s="73" t="str">
        <f>+D33</f>
        <v>EUROPOL 4 MIX</v>
      </c>
      <c r="I43" s="137"/>
      <c r="J43" s="73"/>
    </row>
    <row r="44" spans="1:10" s="88" customFormat="1" ht="49.5">
      <c r="A44" s="45" t="s">
        <v>168</v>
      </c>
      <c r="B44" s="18" t="s">
        <v>234</v>
      </c>
      <c r="C44" s="116" t="str">
        <f>+A50</f>
        <v>Group winner
5th best ranked team</v>
      </c>
      <c r="D44" s="116" t="str">
        <f>+A52</f>
        <v>Group winner
4th best ranked team</v>
      </c>
      <c r="E44" s="19">
        <v>1</v>
      </c>
      <c r="F44" s="21">
        <v>46186</v>
      </c>
      <c r="G44" s="84">
        <f>G43+'General settings'!C$4/1440</f>
        <v>0.43888888888888888</v>
      </c>
      <c r="H44" s="73"/>
      <c r="I44" s="137"/>
      <c r="J44" s="73"/>
    </row>
    <row r="45" spans="1:10" s="88" customFormat="1" ht="50.25" thickBot="1">
      <c r="A45" s="47" t="s">
        <v>168</v>
      </c>
      <c r="B45" s="48" t="s">
        <v>234</v>
      </c>
      <c r="C45" s="129" t="str">
        <f>+A54</f>
        <v>Group winner
3rd best ranked team</v>
      </c>
      <c r="D45" s="129" t="str">
        <f>+A56</f>
        <v>Best second of the groups</v>
      </c>
      <c r="E45" s="82">
        <v>2</v>
      </c>
      <c r="F45" s="76">
        <v>46186</v>
      </c>
      <c r="G45" s="85">
        <f>G44</f>
        <v>0.43888888888888888</v>
      </c>
      <c r="H45" s="66"/>
      <c r="I45" s="138"/>
      <c r="J45" s="66"/>
    </row>
    <row r="46" spans="1:10" ht="15.75" customHeight="1"/>
    <row r="47" spans="1:10" ht="15.75" customHeight="1" thickBot="1"/>
    <row r="48" spans="1:10" ht="30.75" thickBot="1">
      <c r="C48" s="124" t="s">
        <v>223</v>
      </c>
    </row>
    <row r="49" spans="1:7" ht="15.75" customHeight="1" thickBot="1">
      <c r="E49" s="127" t="s">
        <v>228</v>
      </c>
    </row>
    <row r="50" spans="1:7" ht="45.75" thickBot="1">
      <c r="A50" s="122" t="s">
        <v>222</v>
      </c>
    </row>
    <row r="51" spans="1:7" ht="15.75" thickBot="1">
      <c r="C51" s="125" t="s">
        <v>226</v>
      </c>
    </row>
    <row r="52" spans="1:7" ht="45.75" thickBot="1">
      <c r="A52" s="122" t="s">
        <v>221</v>
      </c>
      <c r="G52" s="128" t="s">
        <v>230</v>
      </c>
    </row>
    <row r="53" spans="1:7" ht="15.75" customHeight="1" thickBot="1"/>
    <row r="54" spans="1:7" ht="45.75" thickBot="1">
      <c r="A54" s="123" t="s">
        <v>219</v>
      </c>
    </row>
    <row r="55" spans="1:7" ht="30.75" thickBot="1">
      <c r="C55" s="126" t="s">
        <v>227</v>
      </c>
    </row>
    <row r="56" spans="1:7" ht="30.75" thickBot="1">
      <c r="A56" s="123" t="s">
        <v>220</v>
      </c>
      <c r="E56" s="127" t="s">
        <v>229</v>
      </c>
    </row>
    <row r="57" spans="1:7" ht="15.75" customHeight="1" thickBot="1"/>
    <row r="58" spans="1:7" ht="28.5" customHeight="1" thickBot="1">
      <c r="A58" s="121"/>
      <c r="C58" s="126" t="s">
        <v>224</v>
      </c>
    </row>
    <row r="59" spans="1:7" ht="15.75" customHeight="1">
      <c r="A59" s="36"/>
    </row>
    <row r="60" spans="1:7" ht="15.75" customHeight="1">
      <c r="A60" s="121"/>
      <c r="C60" t="s">
        <v>231</v>
      </c>
      <c r="E60" t="s">
        <v>225</v>
      </c>
    </row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8:G45" xr:uid="{00000000-0009-0000-0000-000003000000}"/>
  <mergeCells count="3">
    <mergeCell ref="C3:I3"/>
    <mergeCell ref="I27:J27"/>
    <mergeCell ref="A21:E21"/>
  </mergeCells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9"/>
  <sheetViews>
    <sheetView topLeftCell="A3" zoomScale="70" zoomScaleNormal="70" workbookViewId="0">
      <selection activeCell="I34" sqref="I34"/>
    </sheetView>
  </sheetViews>
  <sheetFormatPr defaultColWidth="12.5703125" defaultRowHeight="15" customHeight="1"/>
  <cols>
    <col min="1" max="1" width="15.42578125" customWidth="1"/>
    <col min="2" max="2" width="20.140625" customWidth="1"/>
    <col min="3" max="3" width="22.85546875" customWidth="1"/>
    <col min="4" max="4" width="30.85546875" bestFit="1" customWidth="1"/>
    <col min="5" max="5" width="25.28515625" customWidth="1"/>
    <col min="6" max="6" width="10.42578125" customWidth="1"/>
    <col min="7" max="7" width="12" customWidth="1"/>
    <col min="8" max="8" width="20.5703125" customWidth="1"/>
    <col min="9" max="9" width="12.28515625" customWidth="1"/>
    <col min="10" max="11" width="15.28515625" customWidth="1"/>
    <col min="12" max="12" width="13.28515625" customWidth="1"/>
    <col min="13" max="13" width="7.5703125" customWidth="1"/>
    <col min="14" max="14" width="16.5703125" customWidth="1"/>
    <col min="15" max="15" width="7.5703125" customWidth="1"/>
    <col min="16" max="16" width="11.28515625" customWidth="1"/>
    <col min="17" max="27" width="7.5703125" customWidth="1"/>
  </cols>
  <sheetData>
    <row r="1" spans="1:11"/>
    <row r="2" spans="1:11">
      <c r="A2" s="2" t="s">
        <v>1</v>
      </c>
      <c r="B2" s="3" t="s">
        <v>2</v>
      </c>
    </row>
    <row r="3" spans="1:11" ht="15.75" thickBot="1"/>
    <row r="4" spans="1:11">
      <c r="B4" s="146" t="s">
        <v>6</v>
      </c>
      <c r="C4" s="181" t="s">
        <v>7</v>
      </c>
      <c r="D4" s="182"/>
      <c r="E4" s="147" t="s">
        <v>5</v>
      </c>
    </row>
    <row r="5" spans="1:11" s="87" customFormat="1" ht="18" customHeight="1">
      <c r="B5" s="148" t="s">
        <v>235</v>
      </c>
      <c r="C5" s="145" t="s">
        <v>200</v>
      </c>
      <c r="D5" s="145" t="s">
        <v>130</v>
      </c>
      <c r="E5" s="149" t="s">
        <v>97</v>
      </c>
    </row>
    <row r="6" spans="1:11" ht="18" customHeight="1">
      <c r="B6" s="45" t="s">
        <v>23</v>
      </c>
      <c r="C6" s="18" t="s">
        <v>29</v>
      </c>
      <c r="D6" s="18" t="s">
        <v>30</v>
      </c>
      <c r="E6" s="150" t="s">
        <v>28</v>
      </c>
      <c r="F6" s="2"/>
    </row>
    <row r="7" spans="1:11" ht="18" customHeight="1">
      <c r="B7" s="45" t="s">
        <v>24</v>
      </c>
      <c r="C7" s="18" t="s">
        <v>35</v>
      </c>
      <c r="D7" s="18" t="s">
        <v>36</v>
      </c>
      <c r="E7" s="150" t="s">
        <v>28</v>
      </c>
      <c r="K7" s="5"/>
    </row>
    <row r="8" spans="1:11" ht="18" customHeight="1">
      <c r="B8" s="45" t="s">
        <v>25</v>
      </c>
      <c r="C8" s="18" t="s">
        <v>37</v>
      </c>
      <c r="D8" s="18" t="s">
        <v>38</v>
      </c>
      <c r="E8" s="150" t="s">
        <v>28</v>
      </c>
    </row>
    <row r="9" spans="1:11" ht="18" customHeight="1">
      <c r="B9" s="45" t="s">
        <v>26</v>
      </c>
      <c r="C9" s="18" t="s">
        <v>39</v>
      </c>
      <c r="D9" s="18" t="s">
        <v>40</v>
      </c>
      <c r="E9" s="150" t="s">
        <v>28</v>
      </c>
    </row>
    <row r="10" spans="1:11" ht="18" customHeight="1">
      <c r="B10" s="45" t="s">
        <v>18</v>
      </c>
      <c r="C10" s="18" t="s">
        <v>42</v>
      </c>
      <c r="D10" s="18" t="s">
        <v>43</v>
      </c>
      <c r="E10" s="150" t="s">
        <v>41</v>
      </c>
    </row>
    <row r="11" spans="1:11" ht="18" customHeight="1">
      <c r="B11" s="45" t="s">
        <v>19</v>
      </c>
      <c r="C11" s="18" t="s">
        <v>46</v>
      </c>
      <c r="D11" s="18" t="s">
        <v>47</v>
      </c>
      <c r="E11" s="150" t="s">
        <v>45</v>
      </c>
    </row>
    <row r="12" spans="1:11" ht="18" customHeight="1">
      <c r="B12" s="45" t="s">
        <v>31</v>
      </c>
      <c r="C12" s="18" t="s">
        <v>55</v>
      </c>
      <c r="D12" s="18" t="s">
        <v>56</v>
      </c>
      <c r="E12" s="150" t="s">
        <v>45</v>
      </c>
    </row>
    <row r="13" spans="1:11" ht="18" customHeight="1">
      <c r="B13" s="45" t="s">
        <v>32</v>
      </c>
      <c r="C13" s="18" t="s">
        <v>59</v>
      </c>
      <c r="D13" s="18" t="s">
        <v>60</v>
      </c>
      <c r="E13" s="150" t="s">
        <v>58</v>
      </c>
    </row>
    <row r="14" spans="1:11" ht="18" customHeight="1">
      <c r="B14" s="45" t="s">
        <v>240</v>
      </c>
      <c r="C14" s="18" t="s">
        <v>61</v>
      </c>
      <c r="D14" s="18" t="s">
        <v>62</v>
      </c>
      <c r="E14" s="150" t="s">
        <v>58</v>
      </c>
    </row>
    <row r="15" spans="1:11" ht="18" customHeight="1">
      <c r="B15" s="45" t="s">
        <v>34</v>
      </c>
      <c r="C15" s="18" t="s">
        <v>64</v>
      </c>
      <c r="D15" s="18" t="s">
        <v>65</v>
      </c>
      <c r="E15" s="150" t="s">
        <v>63</v>
      </c>
    </row>
    <row r="16" spans="1:11" ht="18" customHeight="1">
      <c r="B16" s="45" t="s">
        <v>217</v>
      </c>
      <c r="C16" s="18" t="s">
        <v>67</v>
      </c>
      <c r="D16" s="18" t="s">
        <v>70</v>
      </c>
      <c r="E16" s="149" t="s">
        <v>66</v>
      </c>
    </row>
    <row r="17" spans="1:12" ht="18" customHeight="1">
      <c r="B17" s="45" t="s">
        <v>238</v>
      </c>
      <c r="C17" s="18" t="s">
        <v>68</v>
      </c>
      <c r="D17" s="18" t="s">
        <v>69</v>
      </c>
      <c r="E17" s="149" t="s">
        <v>66</v>
      </c>
    </row>
    <row r="18" spans="1:12" ht="18" customHeight="1" thickBot="1">
      <c r="B18" s="47" t="s">
        <v>33</v>
      </c>
      <c r="C18" s="48" t="s">
        <v>243</v>
      </c>
      <c r="D18" s="151" t="s">
        <v>207</v>
      </c>
      <c r="E18" s="152" t="s">
        <v>66</v>
      </c>
    </row>
    <row r="19" spans="1:12"/>
    <row r="20" spans="1:12" ht="15.75" customHeight="1">
      <c r="A20" s="2">
        <f>+COUNTA(B5:B18)</f>
        <v>14</v>
      </c>
    </row>
    <row r="21" spans="1:12" ht="15.75" customHeight="1"/>
    <row r="22" spans="1:12" ht="15.75" customHeight="1" thickBot="1">
      <c r="A22" s="180" t="s">
        <v>4</v>
      </c>
      <c r="B22" s="180"/>
      <c r="C22" s="180"/>
      <c r="D22" s="180"/>
      <c r="E22" s="37"/>
    </row>
    <row r="23" spans="1:12" ht="15.75" customHeight="1">
      <c r="A23" s="39" t="s">
        <v>8</v>
      </c>
      <c r="B23" s="40" t="s">
        <v>9</v>
      </c>
      <c r="C23" s="40" t="s">
        <v>10</v>
      </c>
      <c r="D23" s="41" t="s">
        <v>11</v>
      </c>
      <c r="E23" s="63"/>
    </row>
    <row r="24" spans="1:12" ht="15.6" customHeight="1">
      <c r="A24" s="42" t="str">
        <f>+B16</f>
        <v>Too hot for indoor</v>
      </c>
      <c r="B24" s="20" t="str">
        <f>+B5</f>
        <v>Europol 2x2 men</v>
      </c>
      <c r="C24" s="20" t="str">
        <f>+B10</f>
        <v>Bacalhau&amp;porchetta</v>
      </c>
      <c r="D24" s="43" t="str">
        <f>+B11</f>
        <v>EFSA 1</v>
      </c>
      <c r="E24" s="64"/>
    </row>
    <row r="25" spans="1:12" ht="15.6" customHeight="1">
      <c r="A25" s="42" t="str">
        <f>+B6</f>
        <v>Chill-out</v>
      </c>
      <c r="B25" s="20" t="str">
        <f>+B7</f>
        <v>Ballbreakers</v>
      </c>
      <c r="C25" s="20" t="str">
        <f>+B8</f>
        <v>DP's</v>
      </c>
      <c r="D25" s="43" t="str">
        <f>+B17</f>
        <v>Que farà Farà</v>
      </c>
    </row>
    <row r="26" spans="1:12" ht="15.75" customHeight="1">
      <c r="A26" s="42" t="str">
        <f>+B12</f>
        <v>EFSA 2</v>
      </c>
      <c r="B26" s="20" t="str">
        <f>+B18</f>
        <v>JRC 3</v>
      </c>
      <c r="C26" s="20" t="str">
        <f>+B13</f>
        <v>I transalpini</v>
      </c>
      <c r="D26" s="43" t="str">
        <f>+B9</f>
        <v>Dunaj &amp; Wisla</v>
      </c>
      <c r="I26" s="36"/>
    </row>
    <row r="27" spans="1:12" ht="15.75" customHeight="1" thickBot="1">
      <c r="A27" s="44" t="str">
        <f>+B15</f>
        <v>Valletta's Tritons</v>
      </c>
      <c r="B27" s="61" t="str">
        <f>+B14</f>
        <v>Beach control</v>
      </c>
      <c r="C27" s="65"/>
      <c r="D27" s="66"/>
      <c r="G27" s="9"/>
      <c r="I27" s="8"/>
      <c r="J27" s="8"/>
      <c r="K27" s="11"/>
      <c r="L27" s="38"/>
    </row>
    <row r="28" spans="1:12" ht="15.75" customHeight="1">
      <c r="G28" s="9"/>
      <c r="I28" s="8"/>
      <c r="J28" s="8"/>
      <c r="K28" s="11"/>
      <c r="L28" s="12"/>
    </row>
    <row r="29" spans="1:12" ht="15.75" customHeight="1" thickBot="1">
      <c r="C29" s="8" t="s">
        <v>44</v>
      </c>
      <c r="H29" t="s">
        <v>205</v>
      </c>
      <c r="I29" s="183" t="s">
        <v>185</v>
      </c>
      <c r="J29" s="184"/>
      <c r="K29" s="11"/>
      <c r="L29" s="12"/>
    </row>
    <row r="30" spans="1:12" ht="15.75" customHeight="1">
      <c r="A30" s="67" t="s">
        <v>48</v>
      </c>
      <c r="B30" s="68" t="s">
        <v>49</v>
      </c>
      <c r="C30" s="69" t="s">
        <v>50</v>
      </c>
      <c r="D30" s="70" t="s">
        <v>51</v>
      </c>
      <c r="E30" s="70" t="s">
        <v>52</v>
      </c>
      <c r="F30" s="70" t="s">
        <v>53</v>
      </c>
      <c r="G30" s="70" t="s">
        <v>54</v>
      </c>
      <c r="H30" s="72"/>
      <c r="I30" s="71"/>
      <c r="J30" s="72"/>
      <c r="K30" s="11"/>
      <c r="L30" s="12"/>
    </row>
    <row r="31" spans="1:12" ht="15.75" customHeight="1">
      <c r="A31" s="45" t="s">
        <v>57</v>
      </c>
      <c r="B31" s="18" t="s">
        <v>8</v>
      </c>
      <c r="C31" s="20" t="str">
        <f>+A24</f>
        <v>Too hot for indoor</v>
      </c>
      <c r="D31" s="20" t="str">
        <f>+A25</f>
        <v>Chill-out</v>
      </c>
      <c r="E31" s="19">
        <v>1</v>
      </c>
      <c r="F31" s="21">
        <v>46186</v>
      </c>
      <c r="G31" s="84">
        <f>'4x4 MIX'!G44+'General settings'!C$4/1440</f>
        <v>0.4548611111111111</v>
      </c>
      <c r="H31" s="73" t="str">
        <f>+A27</f>
        <v>Valletta's Tritons</v>
      </c>
      <c r="I31" s="24"/>
      <c r="J31" s="73"/>
      <c r="K31" s="11"/>
      <c r="L31" s="12"/>
    </row>
    <row r="32" spans="1:12" ht="15.75" customHeight="1">
      <c r="A32" s="45" t="s">
        <v>57</v>
      </c>
      <c r="B32" s="18" t="s">
        <v>9</v>
      </c>
      <c r="C32" s="20" t="str">
        <f>+B24</f>
        <v>Europol 2x2 men</v>
      </c>
      <c r="D32" s="20" t="str">
        <f>+B25</f>
        <v>Ballbreakers</v>
      </c>
      <c r="E32" s="19">
        <v>2</v>
      </c>
      <c r="F32" s="21">
        <v>46186</v>
      </c>
      <c r="G32" s="84">
        <f>'4x4 MIX'!G45+'General settings'!C$4/1440</f>
        <v>0.4548611111111111</v>
      </c>
      <c r="H32" s="73" t="str">
        <f>+C36</f>
        <v>JRC 3</v>
      </c>
      <c r="I32" s="24"/>
      <c r="J32" s="73"/>
      <c r="K32" s="11"/>
      <c r="L32" s="12"/>
    </row>
    <row r="33" spans="1:10" ht="15.75" customHeight="1">
      <c r="A33" s="45" t="s">
        <v>57</v>
      </c>
      <c r="B33" s="18" t="s">
        <v>10</v>
      </c>
      <c r="C33" s="20" t="str">
        <f>+C24</f>
        <v>Bacalhau&amp;porchetta</v>
      </c>
      <c r="D33" s="20" t="str">
        <f>+C25</f>
        <v>DP's</v>
      </c>
      <c r="E33" s="19">
        <v>1</v>
      </c>
      <c r="F33" s="21">
        <v>46186</v>
      </c>
      <c r="G33" s="84">
        <f>G31+'General settings'!C$4/1440</f>
        <v>0.47083333333333333</v>
      </c>
      <c r="H33" s="73" t="str">
        <f>+D37</f>
        <v>I transalpini</v>
      </c>
      <c r="I33" s="24"/>
      <c r="J33" s="73"/>
    </row>
    <row r="34" spans="1:10" ht="15.75" customHeight="1">
      <c r="A34" s="45" t="s">
        <v>57</v>
      </c>
      <c r="B34" s="18" t="s">
        <v>11</v>
      </c>
      <c r="C34" s="20" t="str">
        <f>+D24</f>
        <v>EFSA 1</v>
      </c>
      <c r="D34" s="20" t="str">
        <f>+D25</f>
        <v>Que farà Farà</v>
      </c>
      <c r="E34" s="19">
        <v>2</v>
      </c>
      <c r="F34" s="21">
        <v>46186</v>
      </c>
      <c r="G34" s="84">
        <f>G32+'General settings'!C$4/1440</f>
        <v>0.47083333333333333</v>
      </c>
      <c r="H34" s="73" t="str">
        <f>+D38</f>
        <v>Dunaj &amp; Wisla</v>
      </c>
      <c r="I34" s="24"/>
      <c r="J34" s="73"/>
    </row>
    <row r="35" spans="1:10" ht="15.75" customHeight="1">
      <c r="A35" s="45" t="s">
        <v>57</v>
      </c>
      <c r="B35" s="18" t="s">
        <v>8</v>
      </c>
      <c r="C35" s="20" t="str">
        <f>+A24</f>
        <v>Too hot for indoor</v>
      </c>
      <c r="D35" s="20" t="str">
        <f>+A26</f>
        <v>EFSA 2</v>
      </c>
      <c r="E35" s="19">
        <v>1</v>
      </c>
      <c r="F35" s="21">
        <v>46186</v>
      </c>
      <c r="G35" s="84">
        <f>G33+'General settings'!C$4/1440</f>
        <v>0.48680555555555555</v>
      </c>
      <c r="H35" s="73" t="str">
        <f>+D31</f>
        <v>Chill-out</v>
      </c>
      <c r="I35" s="24"/>
      <c r="J35" s="73"/>
    </row>
    <row r="36" spans="1:10" ht="15.75" customHeight="1">
      <c r="A36" s="45" t="s">
        <v>57</v>
      </c>
      <c r="B36" s="18" t="s">
        <v>9</v>
      </c>
      <c r="C36" s="20" t="str">
        <f>+B26</f>
        <v>JRC 3</v>
      </c>
      <c r="D36" s="20" t="str">
        <f>+B27</f>
        <v>Beach control</v>
      </c>
      <c r="E36" s="19">
        <v>2</v>
      </c>
      <c r="F36" s="21">
        <v>46186</v>
      </c>
      <c r="G36" s="84">
        <f>G34+'General settings'!C$4/1440</f>
        <v>0.48680555555555555</v>
      </c>
      <c r="H36" s="73" t="str">
        <f t="shared" ref="H36:H40" si="0">+C40</f>
        <v>Europol 2x2 men</v>
      </c>
      <c r="I36" s="24"/>
      <c r="J36" s="73"/>
    </row>
    <row r="37" spans="1:10" ht="15.75" customHeight="1">
      <c r="A37" s="45" t="s">
        <v>57</v>
      </c>
      <c r="B37" s="18" t="s">
        <v>10</v>
      </c>
      <c r="C37" s="20" t="str">
        <f>+C25</f>
        <v>DP's</v>
      </c>
      <c r="D37" s="20" t="str">
        <f>+C26</f>
        <v>I transalpini</v>
      </c>
      <c r="E37" s="19">
        <v>1</v>
      </c>
      <c r="F37" s="21">
        <v>46186</v>
      </c>
      <c r="G37" s="84">
        <f>G35+'General settings'!C$4/1440</f>
        <v>0.50277777777777777</v>
      </c>
      <c r="H37" s="73" t="str">
        <f t="shared" si="0"/>
        <v>Bacalhau&amp;porchetta</v>
      </c>
      <c r="I37" s="24"/>
      <c r="J37" s="73"/>
    </row>
    <row r="38" spans="1:10" ht="15.75" customHeight="1">
      <c r="A38" s="45" t="s">
        <v>57</v>
      </c>
      <c r="B38" s="18" t="s">
        <v>11</v>
      </c>
      <c r="C38" s="20" t="str">
        <f>+D25</f>
        <v>Que farà Farà</v>
      </c>
      <c r="D38" s="20" t="str">
        <f>+D26</f>
        <v>Dunaj &amp; Wisla</v>
      </c>
      <c r="E38" s="19">
        <v>2</v>
      </c>
      <c r="F38" s="21">
        <v>46186</v>
      </c>
      <c r="G38" s="84">
        <f>G36+'General settings'!C$4/1440</f>
        <v>0.50277777777777777</v>
      </c>
      <c r="H38" s="73" t="str">
        <f t="shared" si="0"/>
        <v>EFSA 1</v>
      </c>
      <c r="I38" s="24"/>
      <c r="J38" s="73"/>
    </row>
    <row r="39" spans="1:10" ht="15.75" customHeight="1">
      <c r="A39" s="45" t="s">
        <v>57</v>
      </c>
      <c r="B39" s="18" t="s">
        <v>8</v>
      </c>
      <c r="C39" s="20" t="str">
        <f>+A26</f>
        <v>EFSA 2</v>
      </c>
      <c r="D39" s="20" t="str">
        <f>+A27</f>
        <v>Valletta's Tritons</v>
      </c>
      <c r="E39" s="19">
        <v>1</v>
      </c>
      <c r="F39" s="21">
        <v>46186</v>
      </c>
      <c r="G39" s="84">
        <f>G37+'General settings'!C$4/1440</f>
        <v>0.51875000000000004</v>
      </c>
      <c r="H39" s="73" t="str">
        <f>+A24</f>
        <v>Too hot for indoor</v>
      </c>
      <c r="I39" s="24"/>
      <c r="J39" s="73"/>
    </row>
    <row r="40" spans="1:10" ht="15.75" customHeight="1">
      <c r="A40" s="45" t="s">
        <v>57</v>
      </c>
      <c r="B40" s="18" t="s">
        <v>9</v>
      </c>
      <c r="C40" s="20" t="str">
        <f>+B24</f>
        <v>Europol 2x2 men</v>
      </c>
      <c r="D40" s="20" t="str">
        <f>+B26</f>
        <v>JRC 3</v>
      </c>
      <c r="E40" s="19">
        <v>2</v>
      </c>
      <c r="F40" s="21">
        <v>46186</v>
      </c>
      <c r="G40" s="84">
        <f>G38+'General settings'!C$4/1440</f>
        <v>0.51875000000000004</v>
      </c>
      <c r="H40" s="73" t="str">
        <f t="shared" si="0"/>
        <v>Ballbreakers</v>
      </c>
      <c r="I40" s="24"/>
      <c r="J40" s="73"/>
    </row>
    <row r="41" spans="1:10" ht="15.75" customHeight="1">
      <c r="A41" s="45" t="s">
        <v>57</v>
      </c>
      <c r="B41" s="18" t="s">
        <v>10</v>
      </c>
      <c r="C41" s="20" t="str">
        <f>+C24</f>
        <v>Bacalhau&amp;porchetta</v>
      </c>
      <c r="D41" s="20" t="str">
        <f>+C26</f>
        <v>I transalpini</v>
      </c>
      <c r="E41" s="19">
        <v>1</v>
      </c>
      <c r="F41" s="21">
        <v>46186</v>
      </c>
      <c r="G41" s="84">
        <f>G39+'General settings'!C$4/1440</f>
        <v>0.53472222222222232</v>
      </c>
      <c r="H41" s="73" t="str">
        <f>+D33</f>
        <v>DP's</v>
      </c>
      <c r="I41" s="24"/>
      <c r="J41" s="73"/>
    </row>
    <row r="42" spans="1:10" ht="15.75" customHeight="1">
      <c r="A42" s="45" t="s">
        <v>57</v>
      </c>
      <c r="B42" s="18" t="s">
        <v>11</v>
      </c>
      <c r="C42" s="20" t="str">
        <f>+D24</f>
        <v>EFSA 1</v>
      </c>
      <c r="D42" s="20" t="str">
        <f>+D26</f>
        <v>Dunaj &amp; Wisla</v>
      </c>
      <c r="E42" s="19">
        <v>2</v>
      </c>
      <c r="F42" s="21">
        <v>46186</v>
      </c>
      <c r="G42" s="84">
        <f>G40+'General settings'!C$4/1440</f>
        <v>0.53472222222222232</v>
      </c>
      <c r="H42" s="73" t="str">
        <f>+D34</f>
        <v>Que farà Farà</v>
      </c>
      <c r="I42" s="24"/>
      <c r="J42" s="73"/>
    </row>
    <row r="43" spans="1:10" ht="15.75" customHeight="1">
      <c r="A43" s="45" t="s">
        <v>57</v>
      </c>
      <c r="B43" s="18" t="s">
        <v>8</v>
      </c>
      <c r="C43" s="20" t="str">
        <f>+A25</f>
        <v>Chill-out</v>
      </c>
      <c r="D43" s="20" t="str">
        <f>+A27</f>
        <v>Valletta's Tritons</v>
      </c>
      <c r="E43" s="19">
        <v>1</v>
      </c>
      <c r="F43" s="21">
        <v>46186</v>
      </c>
      <c r="G43" s="84">
        <f>G41+'General settings'!C$4/1440</f>
        <v>0.5506944444444446</v>
      </c>
      <c r="H43" s="73" t="str">
        <f>+C45</f>
        <v>Too hot for indoor</v>
      </c>
      <c r="I43" s="24"/>
      <c r="J43" s="73"/>
    </row>
    <row r="44" spans="1:10" ht="15.75" customHeight="1">
      <c r="A44" s="45" t="s">
        <v>57</v>
      </c>
      <c r="B44" s="18" t="s">
        <v>9</v>
      </c>
      <c r="C44" s="20" t="str">
        <f>+B25</f>
        <v>Ballbreakers</v>
      </c>
      <c r="D44" s="20" t="str">
        <f>+B27</f>
        <v>Beach control</v>
      </c>
      <c r="E44" s="19">
        <v>2</v>
      </c>
      <c r="F44" s="21">
        <v>46186</v>
      </c>
      <c r="G44" s="84">
        <f>G42+'General settings'!C$4/1440</f>
        <v>0.5506944444444446</v>
      </c>
      <c r="H44" s="73" t="str">
        <f>+C46</f>
        <v>Europol 2x2 men</v>
      </c>
      <c r="I44" s="24"/>
      <c r="J44" s="73"/>
    </row>
    <row r="45" spans="1:10" ht="15.75" customHeight="1">
      <c r="A45" s="45" t="s">
        <v>57</v>
      </c>
      <c r="B45" s="18" t="s">
        <v>8</v>
      </c>
      <c r="C45" s="20" t="str">
        <f>+A24</f>
        <v>Too hot for indoor</v>
      </c>
      <c r="D45" s="20" t="str">
        <f>+A27</f>
        <v>Valletta's Tritons</v>
      </c>
      <c r="E45" s="19">
        <v>1</v>
      </c>
      <c r="F45" s="21">
        <v>46186</v>
      </c>
      <c r="G45" s="84">
        <f>G43+'General settings'!C$4/1440</f>
        <v>0.56666666666666687</v>
      </c>
      <c r="H45" s="73" t="str">
        <f>+A26</f>
        <v>EFSA 2</v>
      </c>
      <c r="I45" s="24"/>
      <c r="J45" s="73"/>
    </row>
    <row r="46" spans="1:10" ht="15.75" customHeight="1">
      <c r="A46" s="45" t="s">
        <v>57</v>
      </c>
      <c r="B46" s="24" t="s">
        <v>9</v>
      </c>
      <c r="C46" s="20" t="str">
        <f>+B24</f>
        <v>Europol 2x2 men</v>
      </c>
      <c r="D46" s="20" t="str">
        <f>+B27</f>
        <v>Beach control</v>
      </c>
      <c r="E46" s="24">
        <v>2</v>
      </c>
      <c r="F46" s="21">
        <v>46186</v>
      </c>
      <c r="G46" s="84">
        <f>G44+'General settings'!C$4/1440</f>
        <v>0.56666666666666687</v>
      </c>
      <c r="H46" s="73" t="str">
        <f>+C48</f>
        <v>Ballbreakers</v>
      </c>
      <c r="I46" s="24"/>
      <c r="J46" s="73"/>
    </row>
    <row r="47" spans="1:10" ht="15.75" customHeight="1">
      <c r="A47" s="45" t="s">
        <v>57</v>
      </c>
      <c r="B47" s="24" t="s">
        <v>8</v>
      </c>
      <c r="C47" s="20" t="str">
        <f>+A25</f>
        <v>Chill-out</v>
      </c>
      <c r="D47" s="74" t="str">
        <f>+A26</f>
        <v>EFSA 2</v>
      </c>
      <c r="E47" s="24">
        <v>1</v>
      </c>
      <c r="F47" s="21">
        <v>46186</v>
      </c>
      <c r="G47" s="84">
        <f>G45+'General settings'!C$4/1440</f>
        <v>0.58263888888888915</v>
      </c>
      <c r="H47" s="73" t="str">
        <f>+A27</f>
        <v>Valletta's Tritons</v>
      </c>
      <c r="I47" s="24"/>
      <c r="J47" s="73"/>
    </row>
    <row r="48" spans="1:10" ht="15.75" customHeight="1" thickBot="1">
      <c r="A48" s="47" t="s">
        <v>57</v>
      </c>
      <c r="B48" s="65" t="s">
        <v>9</v>
      </c>
      <c r="C48" s="61" t="str">
        <f>+B25</f>
        <v>Ballbreakers</v>
      </c>
      <c r="D48" s="61" t="str">
        <f>+B26</f>
        <v>JRC 3</v>
      </c>
      <c r="E48" s="65">
        <v>2</v>
      </c>
      <c r="F48" s="76">
        <v>46186</v>
      </c>
      <c r="G48" s="85">
        <f>G46+'General settings'!C$4/1440</f>
        <v>0.58263888888888915</v>
      </c>
      <c r="H48" s="66" t="str">
        <f>+D36</f>
        <v>Beach control</v>
      </c>
      <c r="I48" s="65"/>
      <c r="J48" s="66"/>
    </row>
    <row r="49" spans="1:5" ht="15.75" customHeight="1"/>
    <row r="50" spans="1:5" ht="15.75" customHeight="1"/>
    <row r="51" spans="1:5" ht="15.75" customHeight="1"/>
    <row r="52" spans="1:5" ht="15.75" customHeight="1" thickBot="1">
      <c r="A52" s="88"/>
      <c r="B52" s="88"/>
      <c r="C52" s="88"/>
      <c r="D52" s="88"/>
      <c r="E52" s="88"/>
    </row>
    <row r="53" spans="1:5" ht="46.5" customHeight="1" thickBot="1">
      <c r="A53" s="124" t="s">
        <v>223</v>
      </c>
      <c r="B53" s="88"/>
      <c r="C53" s="88"/>
      <c r="D53" s="88"/>
      <c r="E53" s="88"/>
    </row>
    <row r="54" spans="1:5" ht="15.75" customHeight="1" thickBot="1">
      <c r="A54" s="88"/>
      <c r="B54" s="88"/>
      <c r="C54" s="127" t="s">
        <v>228</v>
      </c>
      <c r="D54" s="88"/>
      <c r="E54" s="88"/>
    </row>
    <row r="55" spans="1:5" ht="15.75" customHeight="1" thickBot="1">
      <c r="A55" s="88"/>
      <c r="B55" s="88"/>
      <c r="C55" s="88"/>
      <c r="D55" s="88"/>
      <c r="E55" s="88"/>
    </row>
    <row r="56" spans="1:5" ht="45.95" customHeight="1" thickBot="1">
      <c r="A56" s="124" t="s">
        <v>221</v>
      </c>
      <c r="B56" s="88"/>
      <c r="C56" s="88"/>
      <c r="D56" s="88"/>
      <c r="E56" s="88"/>
    </row>
    <row r="57" spans="1:5" ht="15.75" customHeight="1" thickBot="1">
      <c r="A57" s="88"/>
      <c r="B57" s="88"/>
      <c r="C57" s="88"/>
      <c r="D57" s="88"/>
      <c r="E57" s="128" t="s">
        <v>230</v>
      </c>
    </row>
    <row r="58" spans="1:5" ht="15.75" customHeight="1">
      <c r="A58" s="88"/>
      <c r="B58" s="88"/>
      <c r="C58" s="88"/>
      <c r="D58" s="88"/>
      <c r="E58" s="88"/>
    </row>
    <row r="59" spans="1:5" ht="15.75" customHeight="1" thickBot="1">
      <c r="A59" s="88"/>
      <c r="B59" s="88"/>
      <c r="C59" s="88"/>
      <c r="D59" s="88"/>
      <c r="E59" s="88"/>
    </row>
    <row r="60" spans="1:5" ht="47.1" customHeight="1" thickBot="1">
      <c r="A60" s="126" t="s">
        <v>232</v>
      </c>
      <c r="B60" s="88"/>
      <c r="C60" s="88"/>
      <c r="D60" s="88"/>
      <c r="E60" s="88"/>
    </row>
    <row r="61" spans="1:5" ht="15.75" customHeight="1" thickBot="1">
      <c r="A61" s="88"/>
      <c r="B61" s="88"/>
      <c r="C61" s="127" t="s">
        <v>229</v>
      </c>
      <c r="D61" s="88"/>
      <c r="E61" s="88"/>
    </row>
    <row r="62" spans="1:5" ht="15.75" customHeight="1" thickBot="1">
      <c r="A62" s="88"/>
      <c r="B62" s="88"/>
      <c r="C62" s="88"/>
      <c r="D62" s="88"/>
      <c r="E62" s="88"/>
    </row>
    <row r="63" spans="1:5" ht="44.45" customHeight="1" thickBot="1">
      <c r="A63" s="126" t="s">
        <v>219</v>
      </c>
      <c r="B63" s="88"/>
      <c r="C63" s="88"/>
      <c r="D63" s="88"/>
      <c r="E63" s="88"/>
    </row>
    <row r="64" spans="1:5" ht="15.75" customHeight="1">
      <c r="A64" s="88"/>
      <c r="B64" s="88"/>
      <c r="C64" s="88"/>
      <c r="D64" s="88"/>
      <c r="E64" s="88"/>
    </row>
    <row r="65" spans="1:5" ht="15.75" customHeight="1">
      <c r="A65" s="88" t="s">
        <v>231</v>
      </c>
      <c r="B65" s="88"/>
      <c r="C65" s="88" t="s">
        <v>225</v>
      </c>
      <c r="D65" s="88"/>
      <c r="E65" s="88"/>
    </row>
    <row r="66" spans="1:5" ht="15.75" customHeight="1"/>
    <row r="67" spans="1:5" ht="15.75" customHeight="1"/>
    <row r="68" spans="1:5" ht="15.75" customHeight="1"/>
    <row r="69" spans="1:5" ht="15.75" customHeight="1"/>
    <row r="70" spans="1:5" ht="15.75" customHeight="1"/>
    <row r="71" spans="1:5" ht="15.75" customHeight="1"/>
    <row r="72" spans="1:5" ht="15.75" customHeight="1"/>
    <row r="73" spans="1:5" ht="15.75" customHeight="1"/>
    <row r="74" spans="1:5" ht="15.75" customHeight="1"/>
    <row r="75" spans="1:5" ht="15.75" customHeight="1"/>
    <row r="76" spans="1:5" ht="15.75" customHeight="1"/>
    <row r="77" spans="1:5" ht="15.75" customHeight="1"/>
    <row r="78" spans="1:5" ht="15.75" customHeight="1"/>
    <row r="79" spans="1:5" ht="15.75" customHeight="1"/>
    <row r="80" spans="1:5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A30:G48" xr:uid="{00000000-0009-0000-0000-000000000000}"/>
  <mergeCells count="3">
    <mergeCell ref="C4:D4"/>
    <mergeCell ref="I29:J29"/>
    <mergeCell ref="A22:D22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1000"/>
  <sheetViews>
    <sheetView zoomScale="70" zoomScaleNormal="70" workbookViewId="0">
      <selection activeCell="E16" sqref="E16"/>
    </sheetView>
  </sheetViews>
  <sheetFormatPr defaultColWidth="12.5703125" defaultRowHeight="15" customHeight="1"/>
  <cols>
    <col min="1" max="1" width="14.140625" customWidth="1"/>
    <col min="2" max="2" width="18.42578125" customWidth="1"/>
    <col min="3" max="3" width="27.5703125" bestFit="1" customWidth="1"/>
    <col min="4" max="5" width="23.140625" customWidth="1"/>
    <col min="6" max="6" width="15.140625" customWidth="1"/>
    <col min="7" max="7" width="14.28515625" customWidth="1"/>
    <col min="8" max="8" width="20" bestFit="1" customWidth="1"/>
    <col min="9" max="9" width="11.42578125" customWidth="1"/>
    <col min="10" max="10" width="11.5703125" customWidth="1"/>
    <col min="11" max="11" width="9.140625" customWidth="1"/>
    <col min="12" max="12" width="13.42578125" customWidth="1"/>
    <col min="13" max="27" width="7.5703125" customWidth="1"/>
  </cols>
  <sheetData>
    <row r="2" spans="1:11">
      <c r="A2" s="2" t="s">
        <v>1</v>
      </c>
      <c r="B2" s="3" t="s">
        <v>71</v>
      </c>
    </row>
    <row r="3" spans="1:11" ht="15.75" thickBot="1">
      <c r="K3" s="37"/>
    </row>
    <row r="4" spans="1:11">
      <c r="B4" s="153" t="s">
        <v>6</v>
      </c>
      <c r="C4" s="185" t="s">
        <v>7</v>
      </c>
      <c r="D4" s="182"/>
      <c r="E4" s="154" t="s">
        <v>5</v>
      </c>
      <c r="F4" s="2"/>
      <c r="K4" s="5"/>
    </row>
    <row r="5" spans="1:11" ht="18" customHeight="1">
      <c r="B5" s="50" t="s">
        <v>72</v>
      </c>
      <c r="C5" s="25" t="s">
        <v>73</v>
      </c>
      <c r="D5" s="25" t="s">
        <v>74</v>
      </c>
      <c r="E5" s="155" t="s">
        <v>28</v>
      </c>
      <c r="K5" s="8"/>
    </row>
    <row r="6" spans="1:11" ht="18" customHeight="1">
      <c r="B6" s="50" t="s">
        <v>75</v>
      </c>
      <c r="C6" s="25" t="s">
        <v>77</v>
      </c>
      <c r="D6" s="25" t="s">
        <v>78</v>
      </c>
      <c r="E6" s="155" t="s">
        <v>28</v>
      </c>
      <c r="K6" s="8"/>
    </row>
    <row r="7" spans="1:11" ht="18" customHeight="1">
      <c r="B7" s="50" t="s">
        <v>76</v>
      </c>
      <c r="C7" s="25" t="s">
        <v>81</v>
      </c>
      <c r="D7" s="25" t="s">
        <v>82</v>
      </c>
      <c r="E7" s="155" t="s">
        <v>28</v>
      </c>
      <c r="K7" s="8"/>
    </row>
    <row r="8" spans="1:11" ht="18" customHeight="1">
      <c r="B8" s="50" t="s">
        <v>86</v>
      </c>
      <c r="C8" s="25" t="s">
        <v>87</v>
      </c>
      <c r="D8" s="25" t="s">
        <v>88</v>
      </c>
      <c r="E8" s="155" t="s">
        <v>41</v>
      </c>
      <c r="K8" s="5"/>
    </row>
    <row r="9" spans="1:11" ht="18" customHeight="1">
      <c r="B9" s="50" t="s">
        <v>79</v>
      </c>
      <c r="C9" s="25" t="s">
        <v>89</v>
      </c>
      <c r="D9" s="25" t="s">
        <v>90</v>
      </c>
      <c r="E9" s="155" t="s">
        <v>45</v>
      </c>
    </row>
    <row r="10" spans="1:11" ht="18" customHeight="1">
      <c r="B10" s="50" t="s">
        <v>80</v>
      </c>
      <c r="C10" s="25" t="s">
        <v>91</v>
      </c>
      <c r="D10" s="25" t="s">
        <v>92</v>
      </c>
      <c r="E10" s="155" t="s">
        <v>63</v>
      </c>
    </row>
    <row r="11" spans="1:11" ht="18" customHeight="1">
      <c r="B11" s="50" t="s">
        <v>83</v>
      </c>
      <c r="C11" s="25" t="s">
        <v>93</v>
      </c>
      <c r="D11" s="25" t="s">
        <v>94</v>
      </c>
      <c r="E11" s="155" t="s">
        <v>63</v>
      </c>
    </row>
    <row r="12" spans="1:11" ht="18" customHeight="1">
      <c r="B12" s="50" t="s">
        <v>84</v>
      </c>
      <c r="C12" s="25" t="s">
        <v>95</v>
      </c>
      <c r="D12" s="25" t="s">
        <v>96</v>
      </c>
      <c r="E12" s="155" t="s">
        <v>63</v>
      </c>
    </row>
    <row r="13" spans="1:11" ht="18" customHeight="1">
      <c r="B13" s="50" t="s">
        <v>85</v>
      </c>
      <c r="C13" s="25" t="s">
        <v>98</v>
      </c>
      <c r="D13" s="25" t="s">
        <v>99</v>
      </c>
      <c r="E13" s="155" t="s">
        <v>97</v>
      </c>
    </row>
    <row r="14" spans="1:11" ht="18" customHeight="1">
      <c r="B14" s="156" t="s">
        <v>211</v>
      </c>
      <c r="C14" s="25" t="s">
        <v>100</v>
      </c>
      <c r="D14" s="25" t="s">
        <v>101</v>
      </c>
      <c r="E14" s="169" t="s">
        <v>66</v>
      </c>
    </row>
    <row r="15" spans="1:11" ht="18" customHeight="1" thickBot="1">
      <c r="B15" s="52" t="s">
        <v>183</v>
      </c>
      <c r="C15" s="53" t="s">
        <v>102</v>
      </c>
      <c r="D15" s="53" t="s">
        <v>103</v>
      </c>
      <c r="E15" s="170" t="s">
        <v>66</v>
      </c>
    </row>
    <row r="17" spans="1:16">
      <c r="A17" s="2">
        <f>COUNTA(B5:B15)</f>
        <v>11</v>
      </c>
    </row>
    <row r="18" spans="1:16"/>
    <row r="19" spans="1:16" ht="21.75" thickBot="1">
      <c r="A19" s="186" t="s">
        <v>4</v>
      </c>
      <c r="B19" s="186"/>
      <c r="C19" s="186"/>
    </row>
    <row r="20" spans="1:16" ht="15.75" thickBot="1">
      <c r="A20" s="58" t="s">
        <v>8</v>
      </c>
      <c r="B20" s="59" t="s">
        <v>9</v>
      </c>
      <c r="C20" s="60" t="s">
        <v>10</v>
      </c>
    </row>
    <row r="21" spans="1:16" ht="15.75" customHeight="1">
      <c r="A21" s="55" t="str">
        <f>+B5</f>
        <v>ITAegean</v>
      </c>
      <c r="B21" s="56" t="str">
        <f>+B6</f>
        <v>MURO !</v>
      </c>
      <c r="C21" s="57" t="str">
        <f>+B7</f>
        <v>FedAle</v>
      </c>
    </row>
    <row r="22" spans="1:16" ht="15.75" customHeight="1">
      <c r="A22" s="50" t="str">
        <f>+B8</f>
        <v xml:space="preserve">Nanook </v>
      </c>
      <c r="B22" s="25" t="str">
        <f>+B9</f>
        <v>EFSA 7</v>
      </c>
      <c r="C22" s="51" t="str">
        <f>+B10</f>
        <v>Blue Lagoon Spritz</v>
      </c>
    </row>
    <row r="23" spans="1:16" ht="15.75" customHeight="1">
      <c r="A23" s="50" t="str">
        <f>+B11</f>
        <v>Pastizzi Patrol</v>
      </c>
      <c r="B23" s="25" t="str">
        <f>+B12</f>
        <v>Barrakka Gardeners</v>
      </c>
      <c r="C23" s="51" t="str">
        <f>+B13</f>
        <v>EUROPOL F</v>
      </c>
    </row>
    <row r="24" spans="1:16" ht="15.75" customHeight="1" thickBot="1">
      <c r="A24" s="52" t="str">
        <f>+B14</f>
        <v>Disaqueens</v>
      </c>
      <c r="B24" s="53" t="str">
        <f>+B15</f>
        <v>JRC 12</v>
      </c>
      <c r="C24" s="54"/>
    </row>
    <row r="25" spans="1:16" ht="15.75" customHeight="1"/>
    <row r="26" spans="1:16" ht="15.75" customHeight="1" thickBot="1">
      <c r="D26" s="8" t="s">
        <v>44</v>
      </c>
      <c r="H26" t="s">
        <v>205</v>
      </c>
      <c r="I26" s="179" t="s">
        <v>185</v>
      </c>
      <c r="J26" s="187"/>
    </row>
    <row r="27" spans="1:16" ht="15.75" customHeight="1">
      <c r="A27" s="77" t="s">
        <v>48</v>
      </c>
      <c r="B27" s="78" t="s">
        <v>49</v>
      </c>
      <c r="C27" s="69" t="s">
        <v>50</v>
      </c>
      <c r="D27" s="79" t="s">
        <v>51</v>
      </c>
      <c r="E27" s="79" t="s">
        <v>52</v>
      </c>
      <c r="F27" s="79" t="s">
        <v>53</v>
      </c>
      <c r="G27" s="79" t="s">
        <v>54</v>
      </c>
      <c r="H27" s="72"/>
      <c r="I27" s="71"/>
      <c r="J27" s="72"/>
    </row>
    <row r="28" spans="1:16" ht="15.75" customHeight="1">
      <c r="A28" s="80" t="s">
        <v>104</v>
      </c>
      <c r="B28" s="25" t="s">
        <v>10</v>
      </c>
      <c r="C28" s="25" t="str">
        <f>+C21</f>
        <v>FedAle</v>
      </c>
      <c r="D28" s="25" t="str">
        <f>+C22</f>
        <v>Blue Lagoon Spritz</v>
      </c>
      <c r="E28" s="19">
        <v>3</v>
      </c>
      <c r="F28" s="21">
        <v>46186</v>
      </c>
      <c r="G28" s="84">
        <f>MAX('4x4 MIX'!G$29:G$45)+'General settings'!C$4/1440</f>
        <v>0.4548611111111111</v>
      </c>
      <c r="H28" s="73" t="str">
        <f>+D33</f>
        <v>EUROPOL F</v>
      </c>
      <c r="I28" s="24"/>
      <c r="J28" s="73"/>
    </row>
    <row r="29" spans="1:16" ht="15.75" customHeight="1">
      <c r="A29" s="80" t="s">
        <v>104</v>
      </c>
      <c r="B29" s="25" t="s">
        <v>9</v>
      </c>
      <c r="C29" s="25" t="str">
        <f>+B21</f>
        <v>MURO !</v>
      </c>
      <c r="D29" s="25" t="str">
        <f>+B22</f>
        <v>EFSA 7</v>
      </c>
      <c r="E29" s="19">
        <v>4</v>
      </c>
      <c r="F29" s="21">
        <v>46186</v>
      </c>
      <c r="G29" s="84">
        <f>MAX('4x4 MIX'!G$29:G$45)+'General settings'!C$4/1440</f>
        <v>0.4548611111111111</v>
      </c>
      <c r="H29" s="73" t="str">
        <f>+C32</f>
        <v>Barrakka Gardeners</v>
      </c>
      <c r="I29" s="24"/>
      <c r="J29" s="73"/>
      <c r="M29" s="36"/>
      <c r="N29" s="23"/>
      <c r="O29" s="23"/>
      <c r="P29" s="36"/>
    </row>
    <row r="30" spans="1:16" ht="15.75" customHeight="1">
      <c r="A30" s="80" t="s">
        <v>104</v>
      </c>
      <c r="B30" s="25" t="s">
        <v>8</v>
      </c>
      <c r="C30" s="25" t="str">
        <f>+A21</f>
        <v>ITAegean</v>
      </c>
      <c r="D30" s="25" t="str">
        <f>+A22</f>
        <v xml:space="preserve">Nanook </v>
      </c>
      <c r="E30" s="19">
        <v>3</v>
      </c>
      <c r="F30" s="21">
        <v>46186</v>
      </c>
      <c r="G30" s="84">
        <f>G28+'General settings'!C$4/1440</f>
        <v>0.47083333333333333</v>
      </c>
      <c r="H30" s="73" t="str">
        <f>+C31</f>
        <v>Pastizzi Patrol</v>
      </c>
      <c r="I30" s="24"/>
      <c r="J30" s="135"/>
    </row>
    <row r="31" spans="1:16" ht="15.75" customHeight="1">
      <c r="A31" s="80" t="s">
        <v>104</v>
      </c>
      <c r="B31" s="25" t="s">
        <v>8</v>
      </c>
      <c r="C31" s="25" t="str">
        <f>+A23</f>
        <v>Pastizzi Patrol</v>
      </c>
      <c r="D31" s="25" t="str">
        <f>+A24</f>
        <v>Disaqueens</v>
      </c>
      <c r="E31" s="19">
        <v>4</v>
      </c>
      <c r="F31" s="21">
        <v>46186</v>
      </c>
      <c r="G31" s="84">
        <f>G29+'General settings'!C$4/1440</f>
        <v>0.47083333333333333</v>
      </c>
      <c r="H31" s="73" t="str">
        <f>+C34</f>
        <v>ITAegean</v>
      </c>
      <c r="I31" s="24"/>
      <c r="J31" s="73"/>
    </row>
    <row r="32" spans="1:16" ht="15.75" customHeight="1">
      <c r="A32" s="80" t="s">
        <v>104</v>
      </c>
      <c r="B32" s="25" t="s">
        <v>9</v>
      </c>
      <c r="C32" s="25" t="str">
        <f>+B23</f>
        <v>Barrakka Gardeners</v>
      </c>
      <c r="D32" s="25" t="str">
        <f>+B24</f>
        <v>JRC 12</v>
      </c>
      <c r="E32" s="19">
        <v>3</v>
      </c>
      <c r="F32" s="21">
        <v>46186</v>
      </c>
      <c r="G32" s="84">
        <f>G30+'General settings'!C$4/1440</f>
        <v>0.48680555555555555</v>
      </c>
      <c r="H32" s="73" t="str">
        <f>+C35</f>
        <v>MURO !</v>
      </c>
      <c r="I32" s="24"/>
      <c r="J32" s="73"/>
    </row>
    <row r="33" spans="1:10" ht="15.75" customHeight="1">
      <c r="A33" s="80" t="s">
        <v>104</v>
      </c>
      <c r="B33" s="25" t="s">
        <v>10</v>
      </c>
      <c r="C33" s="25" t="str">
        <f>+C21</f>
        <v>FedAle</v>
      </c>
      <c r="D33" s="25" t="str">
        <f>+C23</f>
        <v>EUROPOL F</v>
      </c>
      <c r="E33" s="19">
        <v>4</v>
      </c>
      <c r="F33" s="21">
        <v>46186</v>
      </c>
      <c r="G33" s="84">
        <f>G31+'General settings'!C$4/1440</f>
        <v>0.48680555555555555</v>
      </c>
      <c r="H33" s="73" t="str">
        <f>+C37</f>
        <v>Blue Lagoon Spritz</v>
      </c>
      <c r="I33" s="24"/>
      <c r="J33" s="73"/>
    </row>
    <row r="34" spans="1:10" ht="15.75" customHeight="1">
      <c r="A34" s="80" t="s">
        <v>104</v>
      </c>
      <c r="B34" s="25" t="s">
        <v>8</v>
      </c>
      <c r="C34" s="25" t="str">
        <f>+A21</f>
        <v>ITAegean</v>
      </c>
      <c r="D34" s="25" t="str">
        <f>+A23</f>
        <v>Pastizzi Patrol</v>
      </c>
      <c r="E34" s="19">
        <v>3</v>
      </c>
      <c r="F34" s="21">
        <v>46186</v>
      </c>
      <c r="G34" s="84">
        <f>G32+'General settings'!C$4/1440</f>
        <v>0.50277777777777777</v>
      </c>
      <c r="H34" s="73" t="str">
        <f>+C36</f>
        <v xml:space="preserve">Nanook </v>
      </c>
      <c r="I34" s="24"/>
      <c r="J34" s="73"/>
    </row>
    <row r="35" spans="1:10" ht="15.75" customHeight="1">
      <c r="A35" s="80" t="s">
        <v>104</v>
      </c>
      <c r="B35" s="25" t="s">
        <v>9</v>
      </c>
      <c r="C35" s="25" t="str">
        <f>+B21</f>
        <v>MURO !</v>
      </c>
      <c r="D35" s="25" t="str">
        <f>+B23</f>
        <v>Barrakka Gardeners</v>
      </c>
      <c r="E35" s="19">
        <v>4</v>
      </c>
      <c r="F35" s="21">
        <v>46186</v>
      </c>
      <c r="G35" s="84">
        <f>G33+'General settings'!C$4/1440</f>
        <v>0.50277777777777777</v>
      </c>
      <c r="H35" s="73" t="str">
        <f>+C38</f>
        <v>EFSA 7</v>
      </c>
      <c r="I35" s="24"/>
      <c r="J35" s="73"/>
    </row>
    <row r="36" spans="1:10" ht="15.75" customHeight="1">
      <c r="A36" s="80" t="s">
        <v>104</v>
      </c>
      <c r="B36" s="25" t="s">
        <v>8</v>
      </c>
      <c r="C36" s="25" t="str">
        <f>+A22</f>
        <v xml:space="preserve">Nanook </v>
      </c>
      <c r="D36" s="25" t="str">
        <f>+A24</f>
        <v>Disaqueens</v>
      </c>
      <c r="E36" s="19">
        <v>3</v>
      </c>
      <c r="F36" s="21">
        <v>46186</v>
      </c>
      <c r="G36" s="84">
        <f>G34+'General settings'!C$4/1440</f>
        <v>0.51875000000000004</v>
      </c>
      <c r="H36" s="73" t="str">
        <f>+C39</f>
        <v>ITAegean</v>
      </c>
      <c r="I36" s="24"/>
      <c r="J36" s="73"/>
    </row>
    <row r="37" spans="1:10" ht="15.75" customHeight="1">
      <c r="A37" s="80" t="s">
        <v>104</v>
      </c>
      <c r="B37" s="25" t="s">
        <v>10</v>
      </c>
      <c r="C37" s="25" t="str">
        <f>+C22</f>
        <v>Blue Lagoon Spritz</v>
      </c>
      <c r="D37" s="25" t="str">
        <f>+C23</f>
        <v>EUROPOL F</v>
      </c>
      <c r="E37" s="19">
        <v>4</v>
      </c>
      <c r="F37" s="21">
        <v>46186</v>
      </c>
      <c r="G37" s="84">
        <f>G35+'General settings'!C$4/1440</f>
        <v>0.51875000000000004</v>
      </c>
      <c r="H37" s="73" t="str">
        <f>+C28</f>
        <v>FedAle</v>
      </c>
      <c r="I37" s="24"/>
      <c r="J37" s="73"/>
    </row>
    <row r="38" spans="1:10" ht="15.75" customHeight="1">
      <c r="A38" s="80" t="s">
        <v>104</v>
      </c>
      <c r="B38" s="19" t="s">
        <v>9</v>
      </c>
      <c r="C38" s="25" t="str">
        <f>+B22</f>
        <v>EFSA 7</v>
      </c>
      <c r="D38" s="25" t="str">
        <f>+B23</f>
        <v>Barrakka Gardeners</v>
      </c>
      <c r="E38" s="19">
        <v>3</v>
      </c>
      <c r="F38" s="21">
        <v>46186</v>
      </c>
      <c r="G38" s="84">
        <f>G36+'General settings'!C$4/1440</f>
        <v>0.53472222222222232</v>
      </c>
      <c r="H38" s="73" t="str">
        <f>+D40</f>
        <v>JRC 12</v>
      </c>
      <c r="I38" s="24"/>
      <c r="J38" s="73"/>
    </row>
    <row r="39" spans="1:10" ht="15.75" customHeight="1">
      <c r="A39" s="80" t="s">
        <v>104</v>
      </c>
      <c r="B39" s="19" t="s">
        <v>8</v>
      </c>
      <c r="C39" s="25" t="str">
        <f>+A21</f>
        <v>ITAegean</v>
      </c>
      <c r="D39" s="25" t="str">
        <f>+A24</f>
        <v>Disaqueens</v>
      </c>
      <c r="E39" s="19">
        <v>4</v>
      </c>
      <c r="F39" s="21">
        <v>46186</v>
      </c>
      <c r="G39" s="84">
        <f>G37+'General settings'!C$4/1440</f>
        <v>0.53472222222222232</v>
      </c>
      <c r="H39" s="73" t="str">
        <f>+C41</f>
        <v xml:space="preserve">Nanook </v>
      </c>
      <c r="I39" s="24"/>
      <c r="J39" s="73"/>
    </row>
    <row r="40" spans="1:10" ht="15.75" customHeight="1">
      <c r="A40" s="80" t="s">
        <v>104</v>
      </c>
      <c r="B40" s="19" t="s">
        <v>9</v>
      </c>
      <c r="C40" s="25" t="str">
        <f>+B21</f>
        <v>MURO !</v>
      </c>
      <c r="D40" s="25" t="str">
        <f>+B24</f>
        <v>JRC 12</v>
      </c>
      <c r="E40" s="19">
        <v>3</v>
      </c>
      <c r="F40" s="21">
        <v>46186</v>
      </c>
      <c r="G40" s="84">
        <f>G38+'General settings'!C$4/1440</f>
        <v>0.5506944444444446</v>
      </c>
      <c r="H40" s="73" t="str">
        <f>+C42</f>
        <v>EFSA 7</v>
      </c>
      <c r="I40" s="24"/>
      <c r="J40" s="73"/>
    </row>
    <row r="41" spans="1:10" ht="15.75" customHeight="1">
      <c r="A41" s="80" t="s">
        <v>104</v>
      </c>
      <c r="B41" s="19" t="s">
        <v>8</v>
      </c>
      <c r="C41" s="25" t="str">
        <f>+A22</f>
        <v xml:space="preserve">Nanook </v>
      </c>
      <c r="D41" s="25" t="str">
        <f>+A23</f>
        <v>Pastizzi Patrol</v>
      </c>
      <c r="E41" s="19">
        <v>4</v>
      </c>
      <c r="F41" s="21">
        <v>46186</v>
      </c>
      <c r="G41" s="84">
        <f>G39+'General settings'!C$4/1440</f>
        <v>0.5506944444444446</v>
      </c>
      <c r="H41" s="73" t="str">
        <f>+D39</f>
        <v>Disaqueens</v>
      </c>
      <c r="I41" s="24"/>
      <c r="J41" s="73"/>
    </row>
    <row r="42" spans="1:10" ht="15.75" customHeight="1" thickBot="1">
      <c r="A42" s="81" t="s">
        <v>104</v>
      </c>
      <c r="B42" s="82" t="s">
        <v>9</v>
      </c>
      <c r="C42" s="53" t="str">
        <f>+B22</f>
        <v>EFSA 7</v>
      </c>
      <c r="D42" s="53" t="str">
        <f>+B24</f>
        <v>JRC 12</v>
      </c>
      <c r="E42" s="82">
        <v>3</v>
      </c>
      <c r="F42" s="76">
        <v>46186</v>
      </c>
      <c r="G42" s="85">
        <f>G40+'General settings'!C$4/1440</f>
        <v>0.56666666666666687</v>
      </c>
      <c r="H42" s="66" t="str">
        <f>+C29</f>
        <v>MURO !</v>
      </c>
      <c r="I42" s="65"/>
      <c r="J42" s="66"/>
    </row>
    <row r="43" spans="1:10" ht="15.75" customHeight="1"/>
    <row r="44" spans="1:10" ht="15.75" customHeight="1"/>
    <row r="45" spans="1:10" ht="15.75" customHeight="1" thickBot="1">
      <c r="A45" s="88"/>
      <c r="B45" s="88"/>
      <c r="C45" s="88"/>
      <c r="D45" s="88"/>
      <c r="E45" s="88"/>
    </row>
    <row r="46" spans="1:10" ht="45.75" thickBot="1">
      <c r="A46" s="124" t="s">
        <v>223</v>
      </c>
      <c r="B46" s="88"/>
      <c r="C46" s="88"/>
      <c r="D46" s="88"/>
      <c r="E46" s="88"/>
    </row>
    <row r="47" spans="1:10" ht="15.75" customHeight="1" thickBot="1">
      <c r="A47" s="88"/>
      <c r="B47" s="88"/>
      <c r="C47" s="127" t="s">
        <v>228</v>
      </c>
      <c r="D47" s="88"/>
      <c r="E47" s="88"/>
    </row>
    <row r="48" spans="1:10" ht="15.75" customHeight="1" thickBot="1">
      <c r="A48" s="88"/>
      <c r="B48" s="88"/>
      <c r="C48" s="88"/>
      <c r="D48" s="88"/>
      <c r="E48" s="88"/>
    </row>
    <row r="49" spans="1:5" ht="30.75" thickBot="1">
      <c r="A49" s="124" t="s">
        <v>220</v>
      </c>
      <c r="B49" s="88"/>
      <c r="C49" s="88"/>
      <c r="D49" s="88"/>
      <c r="E49" s="88"/>
    </row>
    <row r="50" spans="1:5" ht="15.75" customHeight="1" thickBot="1">
      <c r="A50" s="88"/>
      <c r="B50" s="88"/>
      <c r="C50" s="88"/>
      <c r="D50" s="88"/>
      <c r="E50" s="128" t="s">
        <v>230</v>
      </c>
    </row>
    <row r="51" spans="1:5" ht="15.75" customHeight="1">
      <c r="A51" s="88"/>
      <c r="B51" s="88"/>
      <c r="C51" s="88"/>
      <c r="D51" s="88"/>
      <c r="E51" s="88"/>
    </row>
    <row r="52" spans="1:5" ht="15.75" customHeight="1" thickBot="1">
      <c r="A52" s="88"/>
      <c r="B52" s="88"/>
      <c r="C52" s="88"/>
      <c r="D52" s="88"/>
      <c r="E52" s="88"/>
    </row>
    <row r="53" spans="1:5" ht="45" customHeight="1" thickBot="1">
      <c r="A53" s="126" t="s">
        <v>232</v>
      </c>
      <c r="B53" s="88"/>
      <c r="C53" s="88"/>
      <c r="D53" s="88"/>
      <c r="E53" s="88"/>
    </row>
    <row r="54" spans="1:5" ht="15.75" customHeight="1" thickBot="1">
      <c r="A54" s="88"/>
      <c r="B54" s="88"/>
      <c r="C54" s="127" t="s">
        <v>229</v>
      </c>
      <c r="D54" s="88"/>
      <c r="E54" s="88"/>
    </row>
    <row r="55" spans="1:5" ht="15.75" customHeight="1" thickBot="1">
      <c r="A55" s="88"/>
      <c r="B55" s="88"/>
      <c r="C55" s="88"/>
      <c r="D55" s="88"/>
      <c r="E55" s="88"/>
    </row>
    <row r="56" spans="1:5" ht="45.6" customHeight="1" thickBot="1">
      <c r="A56" s="126" t="s">
        <v>219</v>
      </c>
      <c r="B56" s="88"/>
      <c r="C56" s="88"/>
      <c r="D56" s="88"/>
      <c r="E56" s="88"/>
    </row>
    <row r="57" spans="1:5" ht="15.75" customHeight="1"/>
    <row r="58" spans="1:5" ht="15.75" customHeight="1">
      <c r="A58" s="88" t="s">
        <v>231</v>
      </c>
      <c r="B58" s="88"/>
      <c r="C58" s="88" t="s">
        <v>225</v>
      </c>
    </row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7:G42" xr:uid="{00000000-0001-0000-0100-000000000000}"/>
  <mergeCells count="3">
    <mergeCell ref="C4:D4"/>
    <mergeCell ref="A19:C19"/>
    <mergeCell ref="I26:J26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2"/>
  <sheetViews>
    <sheetView topLeftCell="A11" zoomScale="70" zoomScaleNormal="70" workbookViewId="0">
      <selection activeCell="I44" sqref="I44"/>
    </sheetView>
  </sheetViews>
  <sheetFormatPr defaultColWidth="12.5703125" defaultRowHeight="15" customHeight="1"/>
  <cols>
    <col min="1" max="1" width="13.7109375" customWidth="1"/>
    <col min="2" max="2" width="26.5703125" customWidth="1"/>
    <col min="3" max="3" width="27.5703125" customWidth="1"/>
    <col min="4" max="4" width="30.28515625" bestFit="1" customWidth="1"/>
    <col min="5" max="5" width="15.85546875" bestFit="1" customWidth="1"/>
    <col min="6" max="6" width="18.28515625" bestFit="1" customWidth="1"/>
    <col min="7" max="7" width="13.28515625" bestFit="1" customWidth="1"/>
    <col min="8" max="8" width="26" customWidth="1"/>
    <col min="9" max="9" width="11.5703125" customWidth="1"/>
    <col min="10" max="10" width="13.5703125" customWidth="1"/>
    <col min="11" max="11" width="15.85546875" bestFit="1" customWidth="1"/>
    <col min="12" max="12" width="16" customWidth="1"/>
    <col min="13" max="13" width="10.42578125" customWidth="1"/>
    <col min="14" max="27" width="7.5703125" customWidth="1"/>
  </cols>
  <sheetData>
    <row r="1" spans="1:9">
      <c r="A1" s="2" t="s">
        <v>105</v>
      </c>
      <c r="B1" s="3" t="s">
        <v>106</v>
      </c>
    </row>
    <row r="2" spans="1:9" ht="15.75" thickBot="1"/>
    <row r="3" spans="1:9">
      <c r="B3" s="157" t="s">
        <v>6</v>
      </c>
      <c r="C3" s="189" t="s">
        <v>7</v>
      </c>
      <c r="D3" s="190"/>
      <c r="E3" s="158" t="s">
        <v>5</v>
      </c>
      <c r="I3" s="2"/>
    </row>
    <row r="4" spans="1:9" ht="18" customHeight="1">
      <c r="B4" s="159" t="s">
        <v>108</v>
      </c>
      <c r="C4" s="7" t="s">
        <v>109</v>
      </c>
      <c r="D4" s="7" t="s">
        <v>22</v>
      </c>
      <c r="E4" s="160" t="s">
        <v>15</v>
      </c>
    </row>
    <row r="5" spans="1:9" ht="18" customHeight="1">
      <c r="B5" s="159" t="s">
        <v>110</v>
      </c>
      <c r="C5" s="89" t="s">
        <v>199</v>
      </c>
      <c r="D5" s="7" t="s">
        <v>21</v>
      </c>
      <c r="E5" s="160" t="s">
        <v>15</v>
      </c>
    </row>
    <row r="6" spans="1:9" ht="18" customHeight="1">
      <c r="B6" s="159" t="s">
        <v>111</v>
      </c>
      <c r="C6" s="7" t="s">
        <v>36</v>
      </c>
      <c r="D6" s="7" t="s">
        <v>121</v>
      </c>
      <c r="E6" s="160" t="s">
        <v>28</v>
      </c>
    </row>
    <row r="7" spans="1:9" ht="18" customHeight="1">
      <c r="B7" s="159" t="s">
        <v>112</v>
      </c>
      <c r="C7" s="7" t="s">
        <v>38</v>
      </c>
      <c r="D7" s="7" t="s">
        <v>73</v>
      </c>
      <c r="E7" s="160" t="s">
        <v>28</v>
      </c>
    </row>
    <row r="8" spans="1:9" ht="18" customHeight="1">
      <c r="B8" s="159" t="s">
        <v>113</v>
      </c>
      <c r="C8" s="7" t="s">
        <v>77</v>
      </c>
      <c r="D8" s="7" t="s">
        <v>35</v>
      </c>
      <c r="E8" s="160" t="s">
        <v>28</v>
      </c>
    </row>
    <row r="9" spans="1:9" ht="18" customHeight="1">
      <c r="B9" s="159" t="s">
        <v>114</v>
      </c>
      <c r="C9" s="7" t="s">
        <v>74</v>
      </c>
      <c r="D9" s="7" t="s">
        <v>30</v>
      </c>
      <c r="E9" s="160" t="s">
        <v>28</v>
      </c>
    </row>
    <row r="10" spans="1:9" ht="18" customHeight="1">
      <c r="B10" s="159" t="s">
        <v>129</v>
      </c>
      <c r="C10" s="7" t="s">
        <v>130</v>
      </c>
      <c r="D10" s="7" t="s">
        <v>78</v>
      </c>
      <c r="E10" s="160" t="s">
        <v>129</v>
      </c>
      <c r="F10" s="17"/>
      <c r="G10" s="17"/>
    </row>
    <row r="11" spans="1:9" ht="18" customHeight="1">
      <c r="B11" s="159" t="s">
        <v>115</v>
      </c>
      <c r="C11" s="7" t="s">
        <v>42</v>
      </c>
      <c r="D11" s="7" t="s">
        <v>88</v>
      </c>
      <c r="E11" s="160" t="s">
        <v>41</v>
      </c>
    </row>
    <row r="12" spans="1:9" ht="18" customHeight="1">
      <c r="B12" s="159" t="s">
        <v>116</v>
      </c>
      <c r="C12" s="7" t="s">
        <v>43</v>
      </c>
      <c r="D12" s="7" t="s">
        <v>87</v>
      </c>
      <c r="E12" s="160" t="s">
        <v>41</v>
      </c>
    </row>
    <row r="13" spans="1:9" ht="18" customHeight="1">
      <c r="B13" s="159" t="s">
        <v>117</v>
      </c>
      <c r="C13" s="7" t="s">
        <v>99</v>
      </c>
      <c r="D13" s="7" t="s">
        <v>56</v>
      </c>
      <c r="E13" s="160" t="s">
        <v>41</v>
      </c>
    </row>
    <row r="14" spans="1:9" ht="18" customHeight="1">
      <c r="B14" s="159" t="s">
        <v>118</v>
      </c>
      <c r="C14" s="7" t="s">
        <v>132</v>
      </c>
      <c r="D14" s="7" t="s">
        <v>46</v>
      </c>
      <c r="E14" s="160" t="s">
        <v>45</v>
      </c>
    </row>
    <row r="15" spans="1:9" ht="18" customHeight="1">
      <c r="B15" s="159" t="s">
        <v>119</v>
      </c>
      <c r="C15" s="7" t="s">
        <v>89</v>
      </c>
      <c r="D15" s="7" t="s">
        <v>47</v>
      </c>
      <c r="E15" s="160" t="s">
        <v>45</v>
      </c>
    </row>
    <row r="16" spans="1:9" ht="18" customHeight="1">
      <c r="B16" s="159" t="s">
        <v>120</v>
      </c>
      <c r="C16" s="7" t="s">
        <v>90</v>
      </c>
      <c r="D16" s="7" t="s">
        <v>55</v>
      </c>
      <c r="E16" s="160" t="s">
        <v>45</v>
      </c>
    </row>
    <row r="17" spans="1:6" ht="18" customHeight="1">
      <c r="B17" s="159" t="s">
        <v>128</v>
      </c>
      <c r="C17" s="7" t="s">
        <v>133</v>
      </c>
      <c r="D17" s="7" t="s">
        <v>60</v>
      </c>
      <c r="E17" s="160" t="s">
        <v>58</v>
      </c>
    </row>
    <row r="18" spans="1:6" ht="18" customHeight="1">
      <c r="B18" s="159" t="s">
        <v>122</v>
      </c>
      <c r="C18" s="7" t="s">
        <v>134</v>
      </c>
      <c r="D18" s="7" t="s">
        <v>59</v>
      </c>
      <c r="E18" s="160" t="s">
        <v>58</v>
      </c>
    </row>
    <row r="19" spans="1:6" ht="18" customHeight="1">
      <c r="B19" s="159" t="s">
        <v>241</v>
      </c>
      <c r="C19" s="7" t="s">
        <v>135</v>
      </c>
      <c r="D19" s="7" t="s">
        <v>61</v>
      </c>
      <c r="E19" s="160" t="s">
        <v>58</v>
      </c>
    </row>
    <row r="20" spans="1:6" ht="18" customHeight="1">
      <c r="B20" s="159" t="s">
        <v>123</v>
      </c>
      <c r="C20" s="7" t="s">
        <v>64</v>
      </c>
      <c r="D20" s="7" t="s">
        <v>96</v>
      </c>
      <c r="E20" s="160" t="s">
        <v>63</v>
      </c>
    </row>
    <row r="21" spans="1:6" ht="18" customHeight="1">
      <c r="B21" s="159" t="s">
        <v>124</v>
      </c>
      <c r="C21" s="7" t="s">
        <v>65</v>
      </c>
      <c r="D21" s="7" t="s">
        <v>91</v>
      </c>
      <c r="E21" s="160" t="s">
        <v>63</v>
      </c>
    </row>
    <row r="22" spans="1:6" ht="18" customHeight="1">
      <c r="B22" s="159" t="s">
        <v>125</v>
      </c>
      <c r="C22" s="7" t="s">
        <v>98</v>
      </c>
      <c r="D22" s="7" t="s">
        <v>136</v>
      </c>
      <c r="E22" s="160" t="s">
        <v>97</v>
      </c>
    </row>
    <row r="23" spans="1:6" ht="18" customHeight="1">
      <c r="B23" s="159" t="s">
        <v>126</v>
      </c>
      <c r="C23" s="7" t="s">
        <v>138</v>
      </c>
      <c r="D23" s="7" t="s">
        <v>139</v>
      </c>
      <c r="E23" s="160" t="s">
        <v>137</v>
      </c>
    </row>
    <row r="24" spans="1:6" ht="18" customHeight="1">
      <c r="B24" s="159" t="s">
        <v>127</v>
      </c>
      <c r="C24" s="7" t="s">
        <v>140</v>
      </c>
      <c r="D24" s="7" t="s">
        <v>141</v>
      </c>
      <c r="E24" s="160" t="s">
        <v>137</v>
      </c>
    </row>
    <row r="25" spans="1:6" ht="18" customHeight="1">
      <c r="B25" s="171" t="s">
        <v>247</v>
      </c>
      <c r="C25" s="7" t="s">
        <v>100</v>
      </c>
      <c r="D25" s="7" t="s">
        <v>70</v>
      </c>
      <c r="E25" s="172" t="s">
        <v>66</v>
      </c>
    </row>
    <row r="26" spans="1:6" ht="18" customHeight="1">
      <c r="B26" s="159" t="s">
        <v>203</v>
      </c>
      <c r="C26" s="7" t="s">
        <v>102</v>
      </c>
      <c r="D26" s="7" t="s">
        <v>142</v>
      </c>
      <c r="E26" s="172" t="s">
        <v>66</v>
      </c>
    </row>
    <row r="27" spans="1:6" ht="18" customHeight="1">
      <c r="B27" s="159" t="s">
        <v>236</v>
      </c>
      <c r="C27" s="7" t="s">
        <v>103</v>
      </c>
      <c r="D27" s="7" t="s">
        <v>68</v>
      </c>
      <c r="E27" s="172" t="s">
        <v>66</v>
      </c>
    </row>
    <row r="28" spans="1:6" ht="18" customHeight="1" thickBot="1">
      <c r="B28" s="161" t="s">
        <v>208</v>
      </c>
      <c r="C28" s="162" t="s">
        <v>202</v>
      </c>
      <c r="D28" s="162" t="s">
        <v>69</v>
      </c>
      <c r="E28" s="173" t="s">
        <v>66</v>
      </c>
    </row>
    <row r="29" spans="1:6" ht="15.75" customHeight="1"/>
    <row r="30" spans="1:6" ht="15.75" customHeight="1">
      <c r="A30" s="2">
        <f>+COUNTA(B4:B28)</f>
        <v>25</v>
      </c>
    </row>
    <row r="31" spans="1:6" ht="15.75" customHeight="1"/>
    <row r="32" spans="1:6" ht="21.75" thickBot="1">
      <c r="A32" s="186" t="s">
        <v>4</v>
      </c>
      <c r="B32" s="188"/>
      <c r="C32" s="188"/>
      <c r="D32" s="188"/>
      <c r="E32" s="188"/>
      <c r="F32" s="188"/>
    </row>
    <row r="33" spans="1:10" ht="15.75" customHeight="1">
      <c r="A33" s="39" t="s">
        <v>8</v>
      </c>
      <c r="B33" s="40" t="s">
        <v>9</v>
      </c>
      <c r="C33" s="40" t="s">
        <v>10</v>
      </c>
      <c r="D33" s="40" t="s">
        <v>11</v>
      </c>
      <c r="E33" s="40" t="s">
        <v>12</v>
      </c>
      <c r="F33" s="41" t="s">
        <v>107</v>
      </c>
    </row>
    <row r="34" spans="1:10" ht="16.5">
      <c r="A34" s="140" t="str">
        <f>+B4</f>
        <v>EUIPO 3</v>
      </c>
      <c r="B34" s="133" t="str">
        <f>+B5</f>
        <v>EUIPO 4</v>
      </c>
      <c r="C34" s="133" t="str">
        <f>+B6</f>
        <v>Copacabana</v>
      </c>
      <c r="D34" s="133" t="str">
        <f>+B7</f>
        <v>Keto</v>
      </c>
      <c r="E34" s="133" t="str">
        <f>+B8</f>
        <v>Jellybeans</v>
      </c>
      <c r="F34" s="142" t="str">
        <f>+B9</f>
        <v>Volare oooh</v>
      </c>
    </row>
    <row r="35" spans="1:10" ht="16.5">
      <c r="A35" s="140" t="str">
        <f>+B11</f>
        <v>Paddington</v>
      </c>
      <c r="B35" s="133" t="str">
        <f>+B12</f>
        <v>The Lambrusco Paradox</v>
      </c>
      <c r="C35" s="133" t="str">
        <f>+B13</f>
        <v>From Tokyo to The Hague</v>
      </c>
      <c r="D35" s="133" t="str">
        <f>+B14</f>
        <v>EFSA 3</v>
      </c>
      <c r="E35" s="133" t="str">
        <f>+B15</f>
        <v>EFSA 4</v>
      </c>
      <c r="F35" s="142" t="str">
        <f>+B16</f>
        <v>EFSA 5</v>
      </c>
    </row>
    <row r="36" spans="1:10" ht="33">
      <c r="A36" s="140" t="str">
        <f>+B18</f>
        <v xml:space="preserve">Ooh la la </v>
      </c>
      <c r="B36" s="133" t="str">
        <f>+B19</f>
        <v>Balkan Beach Ballers</v>
      </c>
      <c r="C36" s="133" t="str">
        <f>+B20</f>
        <v>Mdina Defenders</v>
      </c>
      <c r="D36" s="133" t="str">
        <f>+B21</f>
        <v>Ftira Fellowship</v>
      </c>
      <c r="E36" s="133" t="str">
        <f>+B22</f>
        <v>EUROPOL MIX</v>
      </c>
      <c r="F36" s="142" t="str">
        <f>+B23</f>
        <v>BBB</v>
      </c>
    </row>
    <row r="37" spans="1:10" ht="49.5">
      <c r="A37" s="140" t="str">
        <f>+B25</f>
        <v>Se non spigoli non vale</v>
      </c>
      <c r="B37" s="133" t="str">
        <f>+B26</f>
        <v>JRC Energy dense</v>
      </c>
      <c r="C37" s="133" t="str">
        <f>+B27</f>
        <v>Gianmarcoooo</v>
      </c>
      <c r="D37" s="133" t="str">
        <f>+B28</f>
        <v>Ticino e Carbonara</v>
      </c>
      <c r="E37" s="133" t="str">
        <f>+B24</f>
        <v>Sandstormers</v>
      </c>
      <c r="F37" s="142" t="str">
        <f>+B17</f>
        <v>Sandbox players</v>
      </c>
    </row>
    <row r="38" spans="1:10" ht="17.25" thickBot="1">
      <c r="A38" s="141" t="str">
        <f>+B10</f>
        <v>ECDC</v>
      </c>
      <c r="B38" s="143"/>
      <c r="C38" s="143"/>
      <c r="D38" s="143"/>
      <c r="E38" s="143"/>
      <c r="F38" s="144"/>
    </row>
    <row r="39" spans="1:10" ht="15.75" customHeight="1"/>
    <row r="40" spans="1:10" ht="15.75" customHeight="1"/>
    <row r="41" spans="1:10" ht="15.75" customHeight="1" thickBot="1">
      <c r="C41" s="2" t="s">
        <v>44</v>
      </c>
      <c r="I41" s="183"/>
      <c r="J41" s="184"/>
    </row>
    <row r="42" spans="1:10" ht="15.75" customHeight="1">
      <c r="A42" s="67" t="s">
        <v>48</v>
      </c>
      <c r="B42" s="79" t="s">
        <v>49</v>
      </c>
      <c r="C42" s="79" t="s">
        <v>50</v>
      </c>
      <c r="D42" s="79" t="s">
        <v>51</v>
      </c>
      <c r="E42" s="79" t="s">
        <v>52</v>
      </c>
      <c r="F42" s="79" t="s">
        <v>53</v>
      </c>
      <c r="G42" s="79" t="s">
        <v>54</v>
      </c>
      <c r="H42" s="72" t="s">
        <v>205</v>
      </c>
      <c r="I42" s="191" t="s">
        <v>185</v>
      </c>
      <c r="J42" s="192"/>
    </row>
    <row r="43" spans="1:10" ht="15.75" customHeight="1">
      <c r="A43" s="45" t="s">
        <v>131</v>
      </c>
      <c r="B43" s="19" t="s">
        <v>8</v>
      </c>
      <c r="C43" s="20" t="str">
        <f>+A34</f>
        <v>EUIPO 3</v>
      </c>
      <c r="D43" s="20" t="str">
        <f>+A35</f>
        <v>Paddington</v>
      </c>
      <c r="E43" s="19">
        <v>1</v>
      </c>
      <c r="F43" s="21">
        <v>46186</v>
      </c>
      <c r="G43" s="84">
        <f>MAX('2x2M'!G$31:G$48,'2x2F'!G$28:G$42)+'General settings'!C$4/1440</f>
        <v>0.59861111111111143</v>
      </c>
      <c r="H43" s="73" t="str">
        <f t="shared" ref="H43:H48" si="0">+C49</f>
        <v xml:space="preserve">Ooh la la </v>
      </c>
      <c r="I43" s="137"/>
      <c r="J43" s="73"/>
    </row>
    <row r="44" spans="1:10" ht="15.75" customHeight="1">
      <c r="A44" s="45" t="s">
        <v>131</v>
      </c>
      <c r="B44" s="19" t="s">
        <v>9</v>
      </c>
      <c r="C44" s="20" t="str">
        <f>+B34</f>
        <v>EUIPO 4</v>
      </c>
      <c r="D44" s="20" t="str">
        <f>+B35</f>
        <v>The Lambrusco Paradox</v>
      </c>
      <c r="E44" s="19">
        <v>2</v>
      </c>
      <c r="F44" s="21">
        <v>46186</v>
      </c>
      <c r="G44" s="84">
        <f>MAX('2x2M'!G$31:G$48,'2x2F'!G$28:G$42)+'General settings'!C$4/1440</f>
        <v>0.59861111111111143</v>
      </c>
      <c r="H44" s="73" t="str">
        <f t="shared" si="0"/>
        <v>Balkan Beach Ballers</v>
      </c>
      <c r="I44" s="137"/>
      <c r="J44" s="73"/>
    </row>
    <row r="45" spans="1:10" ht="15.75" customHeight="1">
      <c r="A45" s="45" t="s">
        <v>131</v>
      </c>
      <c r="B45" s="19" t="s">
        <v>10</v>
      </c>
      <c r="C45" s="20" t="str">
        <f>+C34</f>
        <v>Copacabana</v>
      </c>
      <c r="D45" s="20" t="str">
        <f>+C35</f>
        <v>From Tokyo to The Hague</v>
      </c>
      <c r="E45" s="19">
        <v>3</v>
      </c>
      <c r="F45" s="22">
        <v>46186</v>
      </c>
      <c r="G45" s="84">
        <f>MAX('2x2M'!G$31:G$48,'2x2F'!G$28:G$42)+2*'General settings'!C$4/1440</f>
        <v>0.61458333333333359</v>
      </c>
      <c r="H45" s="73" t="str">
        <f t="shared" si="0"/>
        <v>Mdina Defenders</v>
      </c>
      <c r="I45" s="137"/>
      <c r="J45" s="73"/>
    </row>
    <row r="46" spans="1:10" ht="15.75" customHeight="1">
      <c r="A46" s="45" t="s">
        <v>131</v>
      </c>
      <c r="B46" s="19" t="s">
        <v>11</v>
      </c>
      <c r="C46" s="20" t="str">
        <f>+D34</f>
        <v>Keto</v>
      </c>
      <c r="D46" s="20" t="str">
        <f>+D35</f>
        <v>EFSA 3</v>
      </c>
      <c r="E46" s="19">
        <v>4</v>
      </c>
      <c r="F46" s="22">
        <v>46186</v>
      </c>
      <c r="G46" s="84">
        <f>MAX('2x2M'!G$31:G$48,'2x2F'!G$28:G$42)+2*'General settings'!C$4/1440</f>
        <v>0.61458333333333359</v>
      </c>
      <c r="H46" s="73" t="str">
        <f t="shared" si="0"/>
        <v>Ftira Fellowship</v>
      </c>
      <c r="I46" s="137"/>
      <c r="J46" s="73"/>
    </row>
    <row r="47" spans="1:10" ht="15.75" customHeight="1">
      <c r="A47" s="45" t="s">
        <v>131</v>
      </c>
      <c r="B47" s="19" t="s">
        <v>12</v>
      </c>
      <c r="C47" s="20" t="str">
        <f>+E34</f>
        <v>Jellybeans</v>
      </c>
      <c r="D47" s="20" t="str">
        <f>+E35</f>
        <v>EFSA 4</v>
      </c>
      <c r="E47" s="19">
        <v>1</v>
      </c>
      <c r="F47" s="22">
        <v>46186</v>
      </c>
      <c r="G47" s="84">
        <f>G43+'General settings'!C$4/1440</f>
        <v>0.6145833333333337</v>
      </c>
      <c r="H47" s="73" t="str">
        <f t="shared" si="0"/>
        <v>EUROPOL MIX</v>
      </c>
      <c r="I47" s="137"/>
      <c r="J47" s="73"/>
    </row>
    <row r="48" spans="1:10" ht="15.75" customHeight="1">
      <c r="A48" s="45" t="s">
        <v>131</v>
      </c>
      <c r="B48" s="19" t="s">
        <v>107</v>
      </c>
      <c r="C48" s="20" t="str">
        <f>+F34</f>
        <v>Volare oooh</v>
      </c>
      <c r="D48" s="20" t="str">
        <f>+F35</f>
        <v>EFSA 5</v>
      </c>
      <c r="E48" s="19">
        <v>2</v>
      </c>
      <c r="F48" s="22">
        <v>46186</v>
      </c>
      <c r="G48" s="84">
        <f>G44+'General settings'!C$4/1440</f>
        <v>0.6145833333333337</v>
      </c>
      <c r="H48" s="73" t="str">
        <f t="shared" si="0"/>
        <v>BBB</v>
      </c>
      <c r="I48" s="137"/>
      <c r="J48" s="73"/>
    </row>
    <row r="49" spans="1:10" ht="15.75" customHeight="1">
      <c r="A49" s="45" t="s">
        <v>131</v>
      </c>
      <c r="B49" s="19" t="s">
        <v>8</v>
      </c>
      <c r="C49" s="20" t="str">
        <f>+A36</f>
        <v xml:space="preserve">Ooh la la </v>
      </c>
      <c r="D49" s="20" t="str">
        <f>+A37</f>
        <v>Se non spigoli non vale</v>
      </c>
      <c r="E49" s="19">
        <v>3</v>
      </c>
      <c r="F49" s="22">
        <v>46186</v>
      </c>
      <c r="G49" s="84">
        <f>G45+'General settings'!C$4/1440</f>
        <v>0.63055555555555576</v>
      </c>
      <c r="H49" s="73" t="str">
        <f>+D55</f>
        <v>ECDC</v>
      </c>
      <c r="I49" s="137"/>
      <c r="J49" s="73"/>
    </row>
    <row r="50" spans="1:10" ht="15.75" customHeight="1">
      <c r="A50" s="45" t="s">
        <v>131</v>
      </c>
      <c r="B50" s="19" t="s">
        <v>9</v>
      </c>
      <c r="C50" s="20" t="str">
        <f>+B36</f>
        <v>Balkan Beach Ballers</v>
      </c>
      <c r="D50" s="20" t="str">
        <f>+B37</f>
        <v>JRC Energy dense</v>
      </c>
      <c r="E50" s="19">
        <v>4</v>
      </c>
      <c r="F50" s="22">
        <v>46186</v>
      </c>
      <c r="G50" s="84">
        <f>G46+'General settings'!C$4/1440</f>
        <v>0.63055555555555576</v>
      </c>
      <c r="H50" s="73" t="str">
        <f t="shared" ref="H50:H61" si="1">+C56</f>
        <v>EUIPO 4</v>
      </c>
      <c r="I50" s="137"/>
      <c r="J50" s="73"/>
    </row>
    <row r="51" spans="1:10" ht="15.75" customHeight="1">
      <c r="A51" s="45" t="s">
        <v>131</v>
      </c>
      <c r="B51" s="19" t="s">
        <v>10</v>
      </c>
      <c r="C51" s="20" t="str">
        <f>+C36</f>
        <v>Mdina Defenders</v>
      </c>
      <c r="D51" s="20" t="str">
        <f>+C37</f>
        <v>Gianmarcoooo</v>
      </c>
      <c r="E51" s="19">
        <v>1</v>
      </c>
      <c r="F51" s="22">
        <v>46186</v>
      </c>
      <c r="G51" s="84">
        <f>G47+'General settings'!C$4/1440</f>
        <v>0.63055555555555598</v>
      </c>
      <c r="H51" s="73" t="str">
        <f t="shared" si="1"/>
        <v>Copacabana</v>
      </c>
      <c r="I51" s="137"/>
      <c r="J51" s="73"/>
    </row>
    <row r="52" spans="1:10" ht="15.75" customHeight="1">
      <c r="A52" s="45" t="s">
        <v>131</v>
      </c>
      <c r="B52" s="19" t="s">
        <v>11</v>
      </c>
      <c r="C52" s="20" t="str">
        <f>+D36</f>
        <v>Ftira Fellowship</v>
      </c>
      <c r="D52" s="20" t="str">
        <f>+D37</f>
        <v>Ticino e Carbonara</v>
      </c>
      <c r="E52" s="19">
        <v>2</v>
      </c>
      <c r="F52" s="22">
        <v>46186</v>
      </c>
      <c r="G52" s="84">
        <f>G48+'General settings'!C$4/1440</f>
        <v>0.63055555555555598</v>
      </c>
      <c r="H52" s="73" t="str">
        <f t="shared" si="1"/>
        <v>Keto</v>
      </c>
      <c r="I52" s="137"/>
      <c r="J52" s="73"/>
    </row>
    <row r="53" spans="1:10" ht="15.75" customHeight="1">
      <c r="A53" s="45" t="s">
        <v>131</v>
      </c>
      <c r="B53" s="19" t="s">
        <v>12</v>
      </c>
      <c r="C53" s="20" t="str">
        <f>+E36</f>
        <v>EUROPOL MIX</v>
      </c>
      <c r="D53" s="20" t="str">
        <f>+E37</f>
        <v>Sandstormers</v>
      </c>
      <c r="E53" s="19">
        <v>3</v>
      </c>
      <c r="F53" s="22">
        <v>46186</v>
      </c>
      <c r="G53" s="84">
        <f>G49+'General settings'!C$4/1440</f>
        <v>0.64652777777777803</v>
      </c>
      <c r="H53" s="73" t="str">
        <f t="shared" si="1"/>
        <v>Jellybeans</v>
      </c>
      <c r="I53" s="139"/>
      <c r="J53" s="73"/>
    </row>
    <row r="54" spans="1:10" ht="15.75" customHeight="1">
      <c r="A54" s="45" t="s">
        <v>131</v>
      </c>
      <c r="B54" s="19" t="s">
        <v>107</v>
      </c>
      <c r="C54" s="20" t="str">
        <f>+F36</f>
        <v>BBB</v>
      </c>
      <c r="D54" s="20" t="str">
        <f>+F37</f>
        <v>Sandbox players</v>
      </c>
      <c r="E54" s="19">
        <v>4</v>
      </c>
      <c r="F54" s="22">
        <v>46186</v>
      </c>
      <c r="G54" s="84">
        <f>G50+'General settings'!C$4/1440</f>
        <v>0.64652777777777803</v>
      </c>
      <c r="H54" s="73" t="str">
        <f t="shared" si="1"/>
        <v>Volare oooh</v>
      </c>
      <c r="I54" s="137"/>
      <c r="J54" s="73"/>
    </row>
    <row r="55" spans="1:10" ht="15.75" customHeight="1">
      <c r="A55" s="45" t="s">
        <v>131</v>
      </c>
      <c r="B55" s="19" t="s">
        <v>8</v>
      </c>
      <c r="C55" s="20" t="str">
        <f>+A34</f>
        <v>EUIPO 3</v>
      </c>
      <c r="D55" s="20" t="str">
        <f>+A38</f>
        <v>ECDC</v>
      </c>
      <c r="E55" s="19">
        <v>1</v>
      </c>
      <c r="F55" s="22">
        <v>46186</v>
      </c>
      <c r="G55" s="84">
        <f>G51+'General settings'!C$4/1440</f>
        <v>0.64652777777777826</v>
      </c>
      <c r="H55" s="73" t="str">
        <f t="shared" si="1"/>
        <v>Paddington</v>
      </c>
      <c r="I55" s="137"/>
      <c r="J55" s="73"/>
    </row>
    <row r="56" spans="1:10" ht="15.75" customHeight="1">
      <c r="A56" s="45" t="s">
        <v>131</v>
      </c>
      <c r="B56" s="19" t="s">
        <v>9</v>
      </c>
      <c r="C56" s="20" t="str">
        <f>+B34</f>
        <v>EUIPO 4</v>
      </c>
      <c r="D56" s="20" t="str">
        <f>+B36</f>
        <v>Balkan Beach Ballers</v>
      </c>
      <c r="E56" s="19">
        <v>2</v>
      </c>
      <c r="F56" s="22">
        <v>46186</v>
      </c>
      <c r="G56" s="84">
        <f>G52+'General settings'!C$4/1440</f>
        <v>0.64652777777777826</v>
      </c>
      <c r="H56" s="73" t="str">
        <f t="shared" si="1"/>
        <v>The Lambrusco Paradox</v>
      </c>
      <c r="I56" s="137"/>
      <c r="J56" s="73"/>
    </row>
    <row r="57" spans="1:10" ht="15.75" customHeight="1">
      <c r="A57" s="45" t="s">
        <v>131</v>
      </c>
      <c r="B57" s="19" t="s">
        <v>10</v>
      </c>
      <c r="C57" s="20" t="str">
        <f>+C34</f>
        <v>Copacabana</v>
      </c>
      <c r="D57" s="20" t="str">
        <f>+C36</f>
        <v>Mdina Defenders</v>
      </c>
      <c r="E57" s="19">
        <v>3</v>
      </c>
      <c r="F57" s="22">
        <v>46186</v>
      </c>
      <c r="G57" s="84">
        <f>G53+'General settings'!C$4/1440</f>
        <v>0.66250000000000031</v>
      </c>
      <c r="H57" s="73" t="str">
        <f t="shared" si="1"/>
        <v>From Tokyo to The Hague</v>
      </c>
      <c r="I57" s="137"/>
      <c r="J57" s="73"/>
    </row>
    <row r="58" spans="1:10" ht="15.75" customHeight="1">
      <c r="A58" s="45" t="s">
        <v>131</v>
      </c>
      <c r="B58" s="19" t="s">
        <v>11</v>
      </c>
      <c r="C58" s="20" t="str">
        <f>+D34</f>
        <v>Keto</v>
      </c>
      <c r="D58" s="20" t="str">
        <f>+D36</f>
        <v>Ftira Fellowship</v>
      </c>
      <c r="E58" s="19">
        <v>4</v>
      </c>
      <c r="F58" s="22">
        <v>46186</v>
      </c>
      <c r="G58" s="84">
        <f>G54+'General settings'!C$4/1440</f>
        <v>0.66250000000000031</v>
      </c>
      <c r="H58" s="73" t="str">
        <f t="shared" si="1"/>
        <v>EFSA 3</v>
      </c>
      <c r="I58" s="137"/>
      <c r="J58" s="73"/>
    </row>
    <row r="59" spans="1:10" ht="15.75" customHeight="1">
      <c r="A59" s="45" t="s">
        <v>131</v>
      </c>
      <c r="B59" s="19" t="s">
        <v>12</v>
      </c>
      <c r="C59" s="20" t="str">
        <f>+E34</f>
        <v>Jellybeans</v>
      </c>
      <c r="D59" s="20" t="str">
        <f>+E36</f>
        <v>EUROPOL MIX</v>
      </c>
      <c r="E59" s="19">
        <v>1</v>
      </c>
      <c r="F59" s="22">
        <v>46186</v>
      </c>
      <c r="G59" s="84">
        <f>G55+'General settings'!C$4/1440</f>
        <v>0.66250000000000053</v>
      </c>
      <c r="H59" s="73" t="str">
        <f t="shared" si="1"/>
        <v>EFSA 4</v>
      </c>
      <c r="I59" s="137"/>
      <c r="J59" s="73"/>
    </row>
    <row r="60" spans="1:10" ht="15.75" customHeight="1">
      <c r="A60" s="45" t="s">
        <v>131</v>
      </c>
      <c r="B60" s="19" t="s">
        <v>107</v>
      </c>
      <c r="C60" s="20" t="str">
        <f>+F34</f>
        <v>Volare oooh</v>
      </c>
      <c r="D60" s="20" t="str">
        <f>+F36</f>
        <v>BBB</v>
      </c>
      <c r="E60" s="19">
        <v>2</v>
      </c>
      <c r="F60" s="22">
        <v>46186</v>
      </c>
      <c r="G60" s="84">
        <f>G56+'General settings'!C$4/1440</f>
        <v>0.66250000000000053</v>
      </c>
      <c r="H60" s="73" t="str">
        <f t="shared" si="1"/>
        <v>EFSA 5</v>
      </c>
      <c r="I60" s="137"/>
      <c r="J60" s="73"/>
    </row>
    <row r="61" spans="1:10" ht="15.75" customHeight="1">
      <c r="A61" s="45" t="s">
        <v>131</v>
      </c>
      <c r="B61" s="19" t="s">
        <v>8</v>
      </c>
      <c r="C61" s="20" t="str">
        <f>+A35</f>
        <v>Paddington</v>
      </c>
      <c r="D61" s="20" t="str">
        <f>+A36</f>
        <v xml:space="preserve">Ooh la la </v>
      </c>
      <c r="E61" s="19">
        <v>3</v>
      </c>
      <c r="F61" s="22">
        <v>46186</v>
      </c>
      <c r="G61" s="84">
        <f>G57+'General settings'!C$4/1440</f>
        <v>0.67847222222222259</v>
      </c>
      <c r="H61" s="73" t="str">
        <f t="shared" si="1"/>
        <v>Se non spigoli non vale</v>
      </c>
      <c r="I61" s="137"/>
      <c r="J61" s="73"/>
    </row>
    <row r="62" spans="1:10" ht="15.75" customHeight="1">
      <c r="A62" s="45" t="s">
        <v>131</v>
      </c>
      <c r="B62" s="19" t="s">
        <v>9</v>
      </c>
      <c r="C62" s="20" t="str">
        <f>+B35</f>
        <v>The Lambrusco Paradox</v>
      </c>
      <c r="D62" s="20" t="str">
        <f>+B37</f>
        <v>JRC Energy dense</v>
      </c>
      <c r="E62" s="19">
        <v>4</v>
      </c>
      <c r="F62" s="22">
        <v>46186</v>
      </c>
      <c r="G62" s="84">
        <f>G58+'General settings'!C$4/1440</f>
        <v>0.67847222222222259</v>
      </c>
      <c r="H62" s="73" t="str">
        <f>+D68</f>
        <v>Balkan Beach Ballers</v>
      </c>
      <c r="I62" s="137"/>
      <c r="J62" s="73"/>
    </row>
    <row r="63" spans="1:10" ht="15.75" customHeight="1">
      <c r="A63" s="45" t="s">
        <v>131</v>
      </c>
      <c r="B63" s="19" t="s">
        <v>10</v>
      </c>
      <c r="C63" s="20" t="str">
        <f>+C35</f>
        <v>From Tokyo to The Hague</v>
      </c>
      <c r="D63" s="20" t="str">
        <f>+C37</f>
        <v>Gianmarcoooo</v>
      </c>
      <c r="E63" s="19">
        <v>1</v>
      </c>
      <c r="F63" s="22">
        <v>46186</v>
      </c>
      <c r="G63" s="84">
        <f>G59+'General settings'!C$4/1440</f>
        <v>0.67847222222222281</v>
      </c>
      <c r="H63" s="73" t="str">
        <f>+D69</f>
        <v>Mdina Defenders</v>
      </c>
      <c r="I63" s="137"/>
      <c r="J63" s="73"/>
    </row>
    <row r="64" spans="1:10" ht="15.75" customHeight="1">
      <c r="A64" s="45" t="s">
        <v>131</v>
      </c>
      <c r="B64" s="19" t="s">
        <v>11</v>
      </c>
      <c r="C64" s="20" t="str">
        <f>+D35</f>
        <v>EFSA 3</v>
      </c>
      <c r="D64" s="20" t="str">
        <f>+D37</f>
        <v>Ticino e Carbonara</v>
      </c>
      <c r="E64" s="19">
        <v>2</v>
      </c>
      <c r="F64" s="22">
        <v>46186</v>
      </c>
      <c r="G64" s="84">
        <f>G60+'General settings'!C$4/1440</f>
        <v>0.67847222222222281</v>
      </c>
      <c r="H64" s="73" t="str">
        <f>+D70</f>
        <v>Ftira Fellowship</v>
      </c>
      <c r="I64" s="137"/>
      <c r="J64" s="73"/>
    </row>
    <row r="65" spans="1:10" ht="15.75" customHeight="1">
      <c r="A65" s="45" t="s">
        <v>131</v>
      </c>
      <c r="B65" s="19" t="s">
        <v>12</v>
      </c>
      <c r="C65" s="20" t="str">
        <f>+E35</f>
        <v>EFSA 4</v>
      </c>
      <c r="D65" s="20" t="str">
        <f>+E37</f>
        <v>Sandstormers</v>
      </c>
      <c r="E65" s="19">
        <v>3</v>
      </c>
      <c r="F65" s="22">
        <v>46186</v>
      </c>
      <c r="G65" s="84">
        <f>G61+'General settings'!C$4/1440</f>
        <v>0.69444444444444486</v>
      </c>
      <c r="H65" s="73" t="str">
        <f>+D71</f>
        <v>EUROPOL MIX</v>
      </c>
      <c r="I65" s="137"/>
      <c r="J65" s="73"/>
    </row>
    <row r="66" spans="1:10" ht="15.75" customHeight="1">
      <c r="A66" s="45" t="s">
        <v>131</v>
      </c>
      <c r="B66" s="19" t="s">
        <v>107</v>
      </c>
      <c r="C66" s="20" t="str">
        <f>+F35</f>
        <v>EFSA 5</v>
      </c>
      <c r="D66" s="20" t="str">
        <f>+F37</f>
        <v>Sandbox players</v>
      </c>
      <c r="E66" s="19">
        <v>4</v>
      </c>
      <c r="F66" s="22">
        <v>46186</v>
      </c>
      <c r="G66" s="84">
        <f>G62+'General settings'!C$4/1440</f>
        <v>0.69444444444444486</v>
      </c>
      <c r="H66" s="73" t="str">
        <f>+D72</f>
        <v>BBB</v>
      </c>
      <c r="I66" s="137"/>
      <c r="J66" s="73"/>
    </row>
    <row r="67" spans="1:10" ht="15.75" customHeight="1">
      <c r="A67" s="45" t="s">
        <v>131</v>
      </c>
      <c r="B67" s="19" t="s">
        <v>8</v>
      </c>
      <c r="C67" s="20" t="str">
        <f>+A37</f>
        <v>Se non spigoli non vale</v>
      </c>
      <c r="D67" s="20" t="str">
        <f>+A38</f>
        <v>ECDC</v>
      </c>
      <c r="E67" s="19">
        <v>1</v>
      </c>
      <c r="F67" s="22">
        <v>46186</v>
      </c>
      <c r="G67" s="84">
        <f>G63+'General settings'!C$4/1440</f>
        <v>0.69444444444444509</v>
      </c>
      <c r="H67" s="73" t="str">
        <f>+C73</f>
        <v>EUIPO 3</v>
      </c>
      <c r="I67" s="137"/>
      <c r="J67" s="73"/>
    </row>
    <row r="68" spans="1:10" ht="15.75" customHeight="1">
      <c r="A68" s="45" t="s">
        <v>131</v>
      </c>
      <c r="B68" s="19" t="s">
        <v>9</v>
      </c>
      <c r="C68" s="20" t="str">
        <f>+B35</f>
        <v>The Lambrusco Paradox</v>
      </c>
      <c r="D68" s="20" t="str">
        <f>+B36</f>
        <v>Balkan Beach Ballers</v>
      </c>
      <c r="E68" s="19">
        <v>2</v>
      </c>
      <c r="F68" s="22">
        <v>46186</v>
      </c>
      <c r="G68" s="84">
        <f>G64+'General settings'!C$4/1440</f>
        <v>0.69444444444444509</v>
      </c>
      <c r="H68" s="73" t="str">
        <f>+D74</f>
        <v>JRC Energy dense</v>
      </c>
      <c r="I68" s="137"/>
      <c r="J68" s="73"/>
    </row>
    <row r="69" spans="1:10" ht="15.75" customHeight="1">
      <c r="A69" s="45" t="s">
        <v>131</v>
      </c>
      <c r="B69" s="19" t="s">
        <v>10</v>
      </c>
      <c r="C69" s="20" t="str">
        <f>+C35</f>
        <v>From Tokyo to The Hague</v>
      </c>
      <c r="D69" s="20" t="str">
        <f>+C36</f>
        <v>Mdina Defenders</v>
      </c>
      <c r="E69" s="19">
        <v>3</v>
      </c>
      <c r="F69" s="22">
        <v>46186</v>
      </c>
      <c r="G69" s="84">
        <f>G65+'General settings'!C$4/1440</f>
        <v>0.71041666666666714</v>
      </c>
      <c r="H69" s="73" t="str">
        <f>+D75</f>
        <v>Gianmarcoooo</v>
      </c>
      <c r="I69" s="137"/>
      <c r="J69" s="73"/>
    </row>
    <row r="70" spans="1:10" ht="15.75" customHeight="1">
      <c r="A70" s="45" t="s">
        <v>131</v>
      </c>
      <c r="B70" s="19" t="s">
        <v>11</v>
      </c>
      <c r="C70" s="20" t="str">
        <f>+D35</f>
        <v>EFSA 3</v>
      </c>
      <c r="D70" s="20" t="str">
        <f>+D36</f>
        <v>Ftira Fellowship</v>
      </c>
      <c r="E70" s="19">
        <v>4</v>
      </c>
      <c r="F70" s="22">
        <v>46186</v>
      </c>
      <c r="G70" s="84">
        <f>G66+'General settings'!C$4/1440</f>
        <v>0.71041666666666714</v>
      </c>
      <c r="H70" s="73" t="str">
        <f>+D76</f>
        <v>Ticino e Carbonara</v>
      </c>
      <c r="I70" s="137"/>
      <c r="J70" s="73"/>
    </row>
    <row r="71" spans="1:10" ht="15.75" customHeight="1">
      <c r="A71" s="45" t="s">
        <v>131</v>
      </c>
      <c r="B71" s="19" t="s">
        <v>12</v>
      </c>
      <c r="C71" s="20" t="str">
        <f>+E35</f>
        <v>EFSA 4</v>
      </c>
      <c r="D71" s="20" t="str">
        <f>+E36</f>
        <v>EUROPOL MIX</v>
      </c>
      <c r="E71" s="19">
        <v>1</v>
      </c>
      <c r="F71" s="22">
        <v>46186</v>
      </c>
      <c r="G71" s="84">
        <f>G67+'General settings'!C$4/1440</f>
        <v>0.71041666666666736</v>
      </c>
      <c r="H71" s="73" t="str">
        <f>+D77</f>
        <v>Sandstormers</v>
      </c>
      <c r="I71" s="137"/>
      <c r="J71" s="73"/>
    </row>
    <row r="72" spans="1:10" ht="15.75" customHeight="1">
      <c r="A72" s="45" t="s">
        <v>131</v>
      </c>
      <c r="B72" s="19" t="s">
        <v>107</v>
      </c>
      <c r="C72" s="20" t="str">
        <f>+F35</f>
        <v>EFSA 5</v>
      </c>
      <c r="D72" s="20" t="str">
        <f>+F36</f>
        <v>BBB</v>
      </c>
      <c r="E72" s="19">
        <v>2</v>
      </c>
      <c r="F72" s="22">
        <v>46186</v>
      </c>
      <c r="G72" s="84">
        <f>G68+'General settings'!C$4/1440</f>
        <v>0.71041666666666736</v>
      </c>
      <c r="H72" s="73" t="str">
        <f>+D78</f>
        <v>Sandbox players</v>
      </c>
      <c r="I72" s="137"/>
      <c r="J72" s="73"/>
    </row>
    <row r="73" spans="1:10" ht="15.75" customHeight="1">
      <c r="A73" s="45" t="s">
        <v>131</v>
      </c>
      <c r="B73" s="19" t="s">
        <v>8</v>
      </c>
      <c r="C73" s="20" t="str">
        <f>+A34</f>
        <v>EUIPO 3</v>
      </c>
      <c r="D73" s="20" t="str">
        <f>+A36</f>
        <v xml:space="preserve">Ooh la la </v>
      </c>
      <c r="E73" s="19">
        <v>1</v>
      </c>
      <c r="F73" s="22">
        <v>46186</v>
      </c>
      <c r="G73" s="84">
        <f>G71+'General settings'!C$4/1440</f>
        <v>0.72638888888888964</v>
      </c>
      <c r="H73" s="73" t="str">
        <f>+C79</f>
        <v>Paddington</v>
      </c>
      <c r="I73" s="137"/>
      <c r="J73" s="73"/>
    </row>
    <row r="74" spans="1:10" ht="15.75" customHeight="1">
      <c r="A74" s="45" t="s">
        <v>131</v>
      </c>
      <c r="B74" s="19" t="s">
        <v>9</v>
      </c>
      <c r="C74" s="20" t="str">
        <f>+B34</f>
        <v>EUIPO 4</v>
      </c>
      <c r="D74" s="20" t="str">
        <f>+B37</f>
        <v>JRC Energy dense</v>
      </c>
      <c r="E74" s="19">
        <v>2</v>
      </c>
      <c r="F74" s="22">
        <v>46186</v>
      </c>
      <c r="G74" s="84">
        <f>G72+'General settings'!C$4/1440</f>
        <v>0.72638888888888964</v>
      </c>
      <c r="H74" s="73" t="str">
        <f>+D44</f>
        <v>The Lambrusco Paradox</v>
      </c>
      <c r="I74" s="137"/>
      <c r="J74" s="73"/>
    </row>
    <row r="75" spans="1:10" ht="15.75" customHeight="1">
      <c r="A75" s="45" t="s">
        <v>131</v>
      </c>
      <c r="B75" s="19" t="s">
        <v>10</v>
      </c>
      <c r="C75" s="20" t="str">
        <f>+C34</f>
        <v>Copacabana</v>
      </c>
      <c r="D75" s="20" t="str">
        <f>+C37</f>
        <v>Gianmarcoooo</v>
      </c>
      <c r="E75" s="19">
        <v>1</v>
      </c>
      <c r="F75" s="22">
        <v>46186</v>
      </c>
      <c r="G75" s="84">
        <f>G73+'General settings'!C$4/1440</f>
        <v>0.74236111111111192</v>
      </c>
      <c r="H75" s="73" t="str">
        <f>+D45</f>
        <v>From Tokyo to The Hague</v>
      </c>
      <c r="I75" s="137"/>
      <c r="J75" s="73"/>
    </row>
    <row r="76" spans="1:10" ht="15.75" customHeight="1">
      <c r="A76" s="45" t="s">
        <v>131</v>
      </c>
      <c r="B76" s="19" t="s">
        <v>11</v>
      </c>
      <c r="C76" s="20" t="str">
        <f>+D34</f>
        <v>Keto</v>
      </c>
      <c r="D76" s="20" t="str">
        <f>+D37</f>
        <v>Ticino e Carbonara</v>
      </c>
      <c r="E76" s="19">
        <v>2</v>
      </c>
      <c r="F76" s="22">
        <v>46186</v>
      </c>
      <c r="G76" s="84">
        <f>G74+'General settings'!C$4/1440</f>
        <v>0.74236111111111192</v>
      </c>
      <c r="H76" s="73" t="str">
        <f>+D46</f>
        <v>EFSA 3</v>
      </c>
      <c r="I76" s="137"/>
      <c r="J76" s="73"/>
    </row>
    <row r="77" spans="1:10" ht="15.75" customHeight="1">
      <c r="A77" s="45" t="s">
        <v>131</v>
      </c>
      <c r="B77" s="19" t="s">
        <v>12</v>
      </c>
      <c r="C77" s="20" t="str">
        <f>+E34</f>
        <v>Jellybeans</v>
      </c>
      <c r="D77" s="20" t="str">
        <f>+E37</f>
        <v>Sandstormers</v>
      </c>
      <c r="E77" s="19">
        <v>1</v>
      </c>
      <c r="F77" s="22">
        <v>46186</v>
      </c>
      <c r="G77" s="84">
        <f>G75+'General settings'!C$4/1440</f>
        <v>0.75833333333333419</v>
      </c>
      <c r="H77" s="73" t="str">
        <f>+D47</f>
        <v>EFSA 4</v>
      </c>
      <c r="I77" s="137"/>
      <c r="J77" s="73"/>
    </row>
    <row r="78" spans="1:10" ht="15.75" customHeight="1">
      <c r="A78" s="45" t="s">
        <v>131</v>
      </c>
      <c r="B78" s="19" t="s">
        <v>107</v>
      </c>
      <c r="C78" s="20" t="str">
        <f>+F34</f>
        <v>Volare oooh</v>
      </c>
      <c r="D78" s="20" t="str">
        <f>+F37</f>
        <v>Sandbox players</v>
      </c>
      <c r="E78" s="19">
        <v>2</v>
      </c>
      <c r="F78" s="22">
        <v>46186</v>
      </c>
      <c r="G78" s="84">
        <f>G76+'General settings'!C$4/1440</f>
        <v>0.75833333333333419</v>
      </c>
      <c r="H78" s="73" t="str">
        <f>+D48</f>
        <v>EFSA 5</v>
      </c>
      <c r="I78" s="137"/>
      <c r="J78" s="73"/>
    </row>
    <row r="79" spans="1:10" ht="15.75" customHeight="1">
      <c r="A79" s="45" t="s">
        <v>131</v>
      </c>
      <c r="B79" s="19" t="s">
        <v>8</v>
      </c>
      <c r="C79" s="20" t="str">
        <f>+A35</f>
        <v>Paddington</v>
      </c>
      <c r="D79" s="20" t="str">
        <f>+A37</f>
        <v>Se non spigoli non vale</v>
      </c>
      <c r="E79" s="19">
        <v>1</v>
      </c>
      <c r="F79" s="22">
        <v>46186</v>
      </c>
      <c r="G79" s="84">
        <f>G77+'General settings'!C$4/1440</f>
        <v>0.77430555555555647</v>
      </c>
      <c r="H79" s="73" t="str">
        <f>+C80</f>
        <v xml:space="preserve">Ooh la la </v>
      </c>
      <c r="I79" s="137"/>
      <c r="J79" s="73"/>
    </row>
    <row r="80" spans="1:10" ht="15.75" customHeight="1">
      <c r="A80" s="45" t="s">
        <v>131</v>
      </c>
      <c r="B80" s="19" t="s">
        <v>8</v>
      </c>
      <c r="C80" s="20" t="str">
        <f>+A36</f>
        <v xml:space="preserve">Ooh la la </v>
      </c>
      <c r="D80" s="20" t="str">
        <f>+A38</f>
        <v>ECDC</v>
      </c>
      <c r="E80" s="19">
        <v>2</v>
      </c>
      <c r="F80" s="22">
        <v>46186</v>
      </c>
      <c r="G80" s="84">
        <f>G78+'General settings'!C$4/1440</f>
        <v>0.77430555555555647</v>
      </c>
      <c r="H80" s="73" t="str">
        <f>+C81</f>
        <v>Se non spigoli non vale</v>
      </c>
      <c r="I80" s="137"/>
      <c r="J80" s="73"/>
    </row>
    <row r="81" spans="1:10" ht="15.75" customHeight="1">
      <c r="A81" s="45" t="s">
        <v>131</v>
      </c>
      <c r="B81" s="19" t="s">
        <v>8</v>
      </c>
      <c r="C81" s="20" t="str">
        <f>+A37</f>
        <v>Se non spigoli non vale</v>
      </c>
      <c r="D81" s="20" t="str">
        <f>+A34</f>
        <v>EUIPO 3</v>
      </c>
      <c r="E81" s="19">
        <v>1</v>
      </c>
      <c r="F81" s="22">
        <v>46186</v>
      </c>
      <c r="G81" s="84">
        <f>G79+'General settings'!C$4/1440</f>
        <v>0.79027777777777874</v>
      </c>
      <c r="H81" s="73" t="str">
        <f>+D82</f>
        <v>ECDC</v>
      </c>
      <c r="I81" s="137"/>
      <c r="J81" s="73"/>
    </row>
    <row r="82" spans="1:10" ht="15.75" customHeight="1">
      <c r="A82" s="45" t="s">
        <v>131</v>
      </c>
      <c r="B82" s="19" t="s">
        <v>8</v>
      </c>
      <c r="C82" s="20" t="str">
        <f>+A35</f>
        <v>Paddington</v>
      </c>
      <c r="D82" s="20" t="str">
        <f>+A38</f>
        <v>ECDC</v>
      </c>
      <c r="E82" s="19">
        <v>2</v>
      </c>
      <c r="F82" s="22">
        <v>46186</v>
      </c>
      <c r="G82" s="84">
        <f>G80+'General settings'!C$4/1440</f>
        <v>0.79027777777777874</v>
      </c>
      <c r="H82" s="73" t="str">
        <f>+D81</f>
        <v>EUIPO 3</v>
      </c>
      <c r="I82" s="137"/>
      <c r="J82" s="73"/>
    </row>
    <row r="83" spans="1:10" s="88" customFormat="1" ht="33">
      <c r="A83" s="45" t="s">
        <v>131</v>
      </c>
      <c r="B83" s="131" t="s">
        <v>234</v>
      </c>
      <c r="C83" s="133" t="str">
        <f>+A90</f>
        <v>Group winner
6th best ranked team</v>
      </c>
      <c r="D83" s="133" t="str">
        <f>+A92</f>
        <v>Group winner
3rd best ranked team</v>
      </c>
      <c r="E83" s="131">
        <v>1</v>
      </c>
      <c r="F83" s="22">
        <v>46186</v>
      </c>
      <c r="G83" s="84">
        <f>G81+'General settings'!C$4/1440</f>
        <v>0.80625000000000102</v>
      </c>
      <c r="H83" s="73"/>
      <c r="I83" s="137"/>
      <c r="J83" s="73"/>
    </row>
    <row r="84" spans="1:10" s="88" customFormat="1" ht="33.75" thickBot="1">
      <c r="A84" s="47" t="s">
        <v>131</v>
      </c>
      <c r="B84" s="132" t="s">
        <v>234</v>
      </c>
      <c r="C84" s="134" t="str">
        <f>+A94</f>
        <v>Group winner
4th best ranked team</v>
      </c>
      <c r="D84" s="134" t="str">
        <f>+A96</f>
        <v>Group winner
5th best ranked team</v>
      </c>
      <c r="E84" s="132">
        <v>2</v>
      </c>
      <c r="F84" s="110">
        <v>46186</v>
      </c>
      <c r="G84" s="85">
        <f>G82+'General settings'!C$4/1440</f>
        <v>0.80625000000000102</v>
      </c>
      <c r="H84" s="66"/>
      <c r="I84" s="138"/>
      <c r="J84" s="66"/>
    </row>
    <row r="85" spans="1:10" ht="15.75" customHeight="1"/>
    <row r="86" spans="1:10" ht="15.75" customHeight="1"/>
    <row r="87" spans="1:10" ht="15.75" customHeight="1" thickBot="1">
      <c r="A87" s="88"/>
      <c r="B87" s="88"/>
      <c r="C87" s="88"/>
      <c r="D87" s="88"/>
      <c r="E87" s="88"/>
      <c r="F87" s="88"/>
      <c r="G87" s="88"/>
    </row>
    <row r="88" spans="1:10" ht="30.75" thickBot="1">
      <c r="A88" s="88"/>
      <c r="B88" s="88"/>
      <c r="C88" s="124" t="s">
        <v>224</v>
      </c>
      <c r="D88" s="88"/>
      <c r="E88" s="88"/>
      <c r="F88" s="88"/>
      <c r="G88" s="88"/>
    </row>
    <row r="89" spans="1:10" ht="15.75" customHeight="1" thickBot="1">
      <c r="A89" s="88"/>
      <c r="B89" s="88"/>
      <c r="C89" s="88"/>
      <c r="D89" s="88"/>
      <c r="E89" s="127" t="s">
        <v>228</v>
      </c>
      <c r="F89" s="88"/>
      <c r="G89" s="88"/>
    </row>
    <row r="90" spans="1:10" ht="45.95" customHeight="1" thickBot="1">
      <c r="A90" s="122" t="s">
        <v>233</v>
      </c>
      <c r="B90" s="88"/>
      <c r="C90" s="88"/>
      <c r="D90" s="88"/>
      <c r="E90" s="88"/>
      <c r="F90" s="88"/>
      <c r="G90" s="88"/>
    </row>
    <row r="91" spans="1:10" ht="15.75" thickBot="1">
      <c r="A91" s="88"/>
      <c r="B91" s="88"/>
      <c r="C91" s="125" t="s">
        <v>226</v>
      </c>
      <c r="D91" s="88"/>
      <c r="E91" s="88"/>
      <c r="F91" s="88"/>
      <c r="G91" s="88"/>
    </row>
    <row r="92" spans="1:10" ht="42" customHeight="1" thickBot="1">
      <c r="A92" s="122" t="s">
        <v>219</v>
      </c>
      <c r="B92" s="88"/>
      <c r="C92" s="88"/>
      <c r="D92" s="88"/>
      <c r="E92" s="88"/>
      <c r="F92" s="88"/>
      <c r="G92" s="128" t="s">
        <v>230</v>
      </c>
    </row>
    <row r="93" spans="1:10" ht="15.75" customHeight="1" thickBot="1">
      <c r="A93" s="88"/>
      <c r="B93" s="88"/>
      <c r="C93" s="88"/>
      <c r="D93" s="88"/>
      <c r="E93" s="88"/>
      <c r="F93" s="88"/>
      <c r="G93" s="88"/>
    </row>
    <row r="94" spans="1:10" ht="48.6" customHeight="1" thickBot="1">
      <c r="A94" s="123" t="s">
        <v>221</v>
      </c>
      <c r="B94" s="88"/>
      <c r="C94" s="88"/>
      <c r="D94" s="88"/>
      <c r="E94" s="88"/>
      <c r="F94" s="88"/>
      <c r="G94" s="88"/>
    </row>
    <row r="95" spans="1:10" ht="15.75" thickBot="1">
      <c r="A95" s="88"/>
      <c r="B95" s="88"/>
      <c r="C95" s="126" t="s">
        <v>227</v>
      </c>
      <c r="D95" s="88"/>
      <c r="E95" s="88"/>
      <c r="F95" s="88"/>
      <c r="G95" s="88"/>
    </row>
    <row r="96" spans="1:10" ht="45.6" customHeight="1" thickBot="1">
      <c r="A96" s="123" t="s">
        <v>222</v>
      </c>
      <c r="B96" s="88"/>
      <c r="C96" s="88"/>
      <c r="D96" s="88"/>
      <c r="E96" s="127" t="s">
        <v>229</v>
      </c>
      <c r="F96" s="88"/>
      <c r="G96" s="88"/>
    </row>
    <row r="97" spans="1:7" ht="15.75" customHeight="1" thickBot="1">
      <c r="A97" s="88"/>
      <c r="B97" s="88"/>
      <c r="C97" s="88"/>
      <c r="D97" s="88"/>
      <c r="E97" s="88"/>
      <c r="F97" s="88"/>
      <c r="G97" s="88"/>
    </row>
    <row r="98" spans="1:7" ht="30.75" thickBot="1">
      <c r="A98" s="121"/>
      <c r="B98" s="88"/>
      <c r="C98" s="126" t="s">
        <v>223</v>
      </c>
      <c r="D98" s="88"/>
      <c r="E98" s="88"/>
      <c r="F98" s="88"/>
      <c r="G98" s="88"/>
    </row>
    <row r="99" spans="1:7" ht="15.75" customHeight="1">
      <c r="A99" s="36"/>
      <c r="B99" s="88"/>
      <c r="C99" s="88"/>
      <c r="D99" s="88"/>
      <c r="E99" s="88"/>
      <c r="F99" s="88"/>
      <c r="G99" s="88"/>
    </row>
    <row r="100" spans="1:7" ht="15.75" customHeight="1">
      <c r="A100" s="121"/>
      <c r="B100" s="88"/>
      <c r="C100" s="88" t="s">
        <v>231</v>
      </c>
      <c r="D100" s="88"/>
      <c r="E100" s="88" t="s">
        <v>225</v>
      </c>
      <c r="F100" s="88"/>
      <c r="G100" s="88"/>
    </row>
    <row r="101" spans="1:7" ht="15.75" customHeight="1"/>
    <row r="102" spans="1:7" ht="15.75" customHeight="1"/>
    <row r="103" spans="1:7" ht="15.75" customHeight="1"/>
    <row r="104" spans="1:7" ht="15.75" customHeight="1"/>
    <row r="105" spans="1:7" ht="15.75" customHeight="1"/>
    <row r="106" spans="1:7" ht="15.75" customHeight="1"/>
    <row r="107" spans="1:7" ht="15.75" customHeight="1"/>
    <row r="108" spans="1:7" ht="15.75" customHeight="1"/>
    <row r="109" spans="1:7" ht="15.75" customHeight="1"/>
    <row r="110" spans="1:7" ht="15.75" customHeight="1"/>
    <row r="111" spans="1:7" ht="15.75" customHeight="1"/>
    <row r="112" spans="1: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B42:G82" xr:uid="{00000000-0009-0000-0000-000002000000}"/>
  <mergeCells count="4">
    <mergeCell ref="A32:F32"/>
    <mergeCell ref="C3:D3"/>
    <mergeCell ref="I41:J41"/>
    <mergeCell ref="I42:J42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006"/>
  <sheetViews>
    <sheetView workbookViewId="0">
      <selection activeCell="I6" sqref="I6"/>
    </sheetView>
  </sheetViews>
  <sheetFormatPr defaultColWidth="12.5703125" defaultRowHeight="15" customHeight="1"/>
  <cols>
    <col min="1" max="1" width="13" style="94" customWidth="1"/>
    <col min="2" max="2" width="12.7109375" style="94" customWidth="1"/>
    <col min="3" max="3" width="24.7109375" style="94" customWidth="1"/>
    <col min="4" max="4" width="18.5703125" style="94" customWidth="1"/>
    <col min="5" max="5" width="5" style="94" customWidth="1"/>
    <col min="6" max="6" width="9.140625" style="94" customWidth="1"/>
    <col min="7" max="9" width="19.42578125" style="95" customWidth="1"/>
    <col min="10" max="10" width="20.85546875" style="92" customWidth="1"/>
    <col min="11" max="11" width="21.140625" style="92" customWidth="1"/>
    <col min="12" max="12" width="22" style="92" bestFit="1" customWidth="1"/>
    <col min="13" max="13" width="25.7109375" style="92" bestFit="1" customWidth="1"/>
    <col min="14" max="15" width="25.7109375" style="92" customWidth="1"/>
    <col min="16" max="16" width="15.85546875" style="93" customWidth="1"/>
    <col min="17" max="17" width="22" style="93" customWidth="1"/>
    <col min="18" max="20" width="16.140625" style="93" customWidth="1"/>
    <col min="21" max="21" width="15.5703125" style="93" bestFit="1" customWidth="1"/>
    <col min="22" max="22" width="25.7109375" bestFit="1" customWidth="1"/>
    <col min="23" max="30" width="8.140625" bestFit="1" customWidth="1"/>
    <col min="31" max="31" width="7.5703125" customWidth="1"/>
  </cols>
  <sheetData>
    <row r="1" spans="1:24" s="88" customFormat="1" ht="15" customHeight="1" thickBot="1">
      <c r="A1" s="94"/>
      <c r="B1" s="94"/>
      <c r="C1" s="94"/>
      <c r="D1" s="94"/>
      <c r="E1" s="94"/>
      <c r="F1" s="94"/>
      <c r="G1" s="163"/>
      <c r="H1" s="95"/>
      <c r="I1" s="95"/>
      <c r="J1" s="92"/>
      <c r="K1" s="92"/>
      <c r="L1" s="92"/>
      <c r="M1" s="92"/>
      <c r="N1" s="92"/>
      <c r="O1" s="92"/>
      <c r="P1" s="93"/>
      <c r="Q1" s="93"/>
      <c r="R1" s="93"/>
      <c r="S1" s="93"/>
      <c r="T1" s="93"/>
      <c r="U1" s="93"/>
    </row>
    <row r="3" spans="1:24">
      <c r="A3" s="96"/>
      <c r="B3" s="96"/>
      <c r="C3" s="96"/>
      <c r="D3" s="96"/>
      <c r="E3" s="96"/>
      <c r="F3" s="96"/>
      <c r="G3" s="97"/>
      <c r="H3" s="97"/>
      <c r="I3" s="97"/>
      <c r="J3" s="195" t="s">
        <v>212</v>
      </c>
      <c r="K3" s="196"/>
      <c r="L3" s="196"/>
      <c r="M3" s="196"/>
      <c r="N3" s="196"/>
      <c r="O3" s="196"/>
      <c r="P3" s="193" t="s">
        <v>213</v>
      </c>
      <c r="Q3" s="194"/>
      <c r="R3" s="194"/>
      <c r="S3" s="194"/>
      <c r="T3" s="98"/>
      <c r="U3" s="98"/>
    </row>
    <row r="4" spans="1:24">
      <c r="A4" s="99" t="s">
        <v>48</v>
      </c>
      <c r="B4" s="100" t="s">
        <v>49</v>
      </c>
      <c r="C4" s="101" t="s">
        <v>50</v>
      </c>
      <c r="D4" s="99" t="s">
        <v>51</v>
      </c>
      <c r="E4" s="99" t="s">
        <v>52</v>
      </c>
      <c r="F4" s="99" t="s">
        <v>53</v>
      </c>
      <c r="G4" s="102" t="s">
        <v>54</v>
      </c>
      <c r="H4" s="102" t="s">
        <v>244</v>
      </c>
      <c r="I4" s="102" t="s">
        <v>245</v>
      </c>
      <c r="J4" s="103" t="s">
        <v>175</v>
      </c>
      <c r="K4" s="103" t="s">
        <v>176</v>
      </c>
      <c r="L4" s="103" t="s">
        <v>177</v>
      </c>
      <c r="M4" s="103" t="s">
        <v>178</v>
      </c>
      <c r="N4" s="103" t="s">
        <v>179</v>
      </c>
      <c r="O4" s="103" t="s">
        <v>180</v>
      </c>
      <c r="P4" s="104" t="s">
        <v>181</v>
      </c>
      <c r="Q4" s="104" t="s">
        <v>182</v>
      </c>
      <c r="R4" s="104" t="s">
        <v>209</v>
      </c>
      <c r="S4" s="104" t="s">
        <v>210</v>
      </c>
      <c r="T4" s="104" t="s">
        <v>214</v>
      </c>
      <c r="U4" s="104" t="s">
        <v>215</v>
      </c>
      <c r="V4" s="3"/>
      <c r="W4" s="3"/>
      <c r="X4" s="3"/>
    </row>
    <row r="5" spans="1:24" ht="15.75" customHeight="1">
      <c r="A5" s="105" t="str">
        <f>+'4x4 MIX'!A29</f>
        <v>4x4Mix</v>
      </c>
      <c r="B5" s="105" t="str">
        <f>+'4x4 MIX'!B29</f>
        <v>C</v>
      </c>
      <c r="C5" s="105" t="str">
        <f>+'4x4 MIX'!C29</f>
        <v>Aperol</v>
      </c>
      <c r="D5" s="105" t="str">
        <f>+'4x4 MIX'!D29</f>
        <v>EUAA Comets</v>
      </c>
      <c r="E5" s="105">
        <f>+'4x4 MIX'!E29</f>
        <v>3</v>
      </c>
      <c r="F5" s="106">
        <f>+'4x4 MIX'!F29</f>
        <v>46186</v>
      </c>
      <c r="G5" s="107">
        <f>+'4x4 MIX'!G29</f>
        <v>0.375</v>
      </c>
      <c r="H5" s="108" t="str">
        <f>VLOOKUP(C5,'4x4 MIX'!$B$4:$J$18,9,)</f>
        <v>FRONTEX</v>
      </c>
      <c r="I5" s="108" t="str">
        <f>VLOOKUP(D5,'4x4 MIX'!$B$4:$J$18,9,)</f>
        <v>EUAA</v>
      </c>
      <c r="J5" s="108" t="str">
        <f>VLOOKUP(C5,'4x4 MIX'!$B$4:$I$18,2,)</f>
        <v>Monika Ciesielska</v>
      </c>
      <c r="K5" s="108" t="str">
        <f>VLOOKUP(C5,'4x4 MIX'!$B$4:$I$18,3,)</f>
        <v>Evgenia Kalogeropoulou</v>
      </c>
      <c r="L5" s="108" t="str">
        <f>VLOOKUP(C5,'4x4 MIX'!$B$4:$I$18,4,)</f>
        <v>Filipe Paisana</v>
      </c>
      <c r="M5" s="108" t="str">
        <f>VLOOKUP(C5,'4x4 MIX'!$B$4:$I$18,5,)</f>
        <v>Jakub Banka</v>
      </c>
      <c r="N5" s="108" t="str">
        <f>VLOOKUP($C5,'4x4 MIX'!$B$4:$I$18,6,)</f>
        <v>Claudiu Chirias</v>
      </c>
      <c r="O5" s="108" t="str">
        <f>VLOOKUP($C5,'4x4 MIX'!$B$4:$I$18,7,)</f>
        <v>Georgios Dimitropoulos</v>
      </c>
      <c r="P5" s="109" t="str">
        <f>VLOOKUP($D5,'4x4 MIX'!$B$4:$I$18,2,)</f>
        <v>Tania</v>
      </c>
      <c r="Q5" s="109" t="str">
        <f>VLOOKUP($D5,'4x4 MIX'!$B$4:$I$18,3,)</f>
        <v>Claudia</v>
      </c>
      <c r="R5" s="109" t="str">
        <f>VLOOKUP($D5,'4x4 MIX'!$B$4:$I$18,4,)</f>
        <v>Vasileios</v>
      </c>
      <c r="S5" s="109" t="str">
        <f>VLOOKUP($D5,'4x4 MIX'!$B$4:$I$18,5,)</f>
        <v>Daniela</v>
      </c>
      <c r="T5" s="109" t="str">
        <f>VLOOKUP($D5,'4x4 MIX'!$B$4:$I$18,6,)</f>
        <v>Maria</v>
      </c>
      <c r="U5" s="109"/>
    </row>
    <row r="6" spans="1:24" ht="15.75" customHeight="1">
      <c r="A6" s="105" t="str">
        <f>+'4x4 MIX'!A30</f>
        <v>4x4Mix</v>
      </c>
      <c r="B6" s="105" t="str">
        <f>+'4x4 MIX'!B30</f>
        <v>B</v>
      </c>
      <c r="C6" s="105" t="str">
        <f>+'4x4 MIX'!C30</f>
        <v>Dandy Dandelions</v>
      </c>
      <c r="D6" s="105" t="str">
        <f>+'4x4 MIX'!D30</f>
        <v>House of Medici</v>
      </c>
      <c r="E6" s="105">
        <f>+'4x4 MIX'!E30</f>
        <v>4</v>
      </c>
      <c r="F6" s="106">
        <f>+'4x4 MIX'!F30</f>
        <v>46186</v>
      </c>
      <c r="G6" s="107">
        <f>+'4x4 MIX'!G30</f>
        <v>0.375</v>
      </c>
      <c r="H6" s="108" t="str">
        <f>VLOOKUP(C6,'4x4 MIX'!$B$4:$J$18,9,)</f>
        <v>FRONTEX</v>
      </c>
      <c r="I6" s="108" t="str">
        <f>VLOOKUP(D6,'4x4 MIX'!$B$4:$J$18,9,)</f>
        <v>EMA</v>
      </c>
      <c r="J6" s="108" t="str">
        <f>VLOOKUP(C6,'4x4 MIX'!$B$4:$I$18,2,)</f>
        <v>Anna Sofia Messeri</v>
      </c>
      <c r="K6" s="108" t="str">
        <f>VLOOKUP(C6,'4x4 MIX'!$B$4:$I$18,3,)</f>
        <v>Natalia Alberska</v>
      </c>
      <c r="L6" s="108" t="str">
        <f>VLOOKUP(C6,'4x4 MIX'!$B$4:$I$18,4,)</f>
        <v>Radovan Kyselica</v>
      </c>
      <c r="M6" s="108" t="str">
        <f>VLOOKUP(C6,'4x4 MIX'!$B$4:$I$18,5,)</f>
        <v>Oliver Bosnar</v>
      </c>
      <c r="N6" s="108" t="str">
        <f>VLOOKUP($C6,'4x4 MIX'!$B$4:$I$18,6,)</f>
        <v>Mateusz Rudzik</v>
      </c>
      <c r="O6" s="108"/>
      <c r="P6" s="109" t="str">
        <f>VLOOKUP($D6,'4x4 MIX'!$B$4:$I$18,2,)</f>
        <v>Mihaela Pereteatcu</v>
      </c>
      <c r="Q6" s="109" t="str">
        <f>VLOOKUP($D6,'4x4 MIX'!$B$4:$I$18,3,)</f>
        <v>Valentina Cordo</v>
      </c>
      <c r="R6" s="109" t="str">
        <f>VLOOKUP($D6,'4x4 MIX'!$B$4:$I$18,4,)</f>
        <v>Thibaut Sauces</v>
      </c>
      <c r="S6" s="109" t="str">
        <f>VLOOKUP($D6,'4x4 MIX'!$B$4:$I$18,5,)</f>
        <v>Frank Pétavy</v>
      </c>
      <c r="T6" s="109" t="str">
        <f>VLOOKUP($D6,'4x4 MIX'!$B$4:$I$18,6,)</f>
        <v>Evangelos Kotzagiorgis</v>
      </c>
      <c r="U6" s="109" t="str">
        <f>VLOOKUP($D6,'4x4 MIX'!$B$4:$I$18,7,)</f>
        <v>Caroline Pothet</v>
      </c>
    </row>
    <row r="7" spans="1:24" ht="15.75" customHeight="1">
      <c r="A7" s="105" t="str">
        <f>+'4x4 MIX'!A31</f>
        <v>4x4Mix</v>
      </c>
      <c r="B7" s="105" t="str">
        <f>+'4x4 MIX'!B31</f>
        <v>A</v>
      </c>
      <c r="C7" s="105" t="str">
        <f>+'4x4 MIX'!C31</f>
        <v>EUIPO 5</v>
      </c>
      <c r="D7" s="105" t="str">
        <f>+'4x4 MIX'!D31</f>
        <v>EFSA 6</v>
      </c>
      <c r="E7" s="105">
        <f>+'4x4 MIX'!E31</f>
        <v>1</v>
      </c>
      <c r="F7" s="106">
        <f>+'4x4 MIX'!F31</f>
        <v>46186</v>
      </c>
      <c r="G7" s="107">
        <f>+'4x4 MIX'!G31</f>
        <v>0.375</v>
      </c>
      <c r="H7" s="108" t="str">
        <f>VLOOKUP(C7,'4x4 MIX'!$B$4:$J$18,9,)</f>
        <v>EUIPO</v>
      </c>
      <c r="I7" s="108" t="str">
        <f>VLOOKUP(D7,'4x4 MIX'!$B$4:$J$18,9,)</f>
        <v>EFSA</v>
      </c>
      <c r="J7" s="108" t="str">
        <f>VLOOKUP(C7,'4x4 MIX'!$B$4:$I$18,2,)</f>
        <v>CSENKE JUDIT</v>
      </c>
      <c r="K7" s="108" t="str">
        <f>VLOOKUP(C7,'4x4 MIX'!$B$4:$I$18,3,)</f>
        <v>BILLERAULT AURELIEN</v>
      </c>
      <c r="L7" s="108" t="str">
        <f>VLOOKUP(C7,'4x4 MIX'!$B$4:$I$18,4,)</f>
        <v>CORRADO ALESSANDRO</v>
      </c>
      <c r="M7" s="108" t="str">
        <f>VLOOKUP(C7,'4x4 MIX'!$B$4:$I$18,5,)</f>
        <v>GURRIERI ROSARIO</v>
      </c>
      <c r="N7" s="108" t="str">
        <f>VLOOKUP($C7,'4x4 MIX'!$B$4:$I$18,6,)</f>
        <v>ROMERO JULIAN</v>
      </c>
      <c r="O7" s="108" t="str">
        <f>VLOOKUP($C7,'4x4 MIX'!$B$4:$I$18,7,)</f>
        <v>Federica Foti</v>
      </c>
      <c r="P7" s="109" t="str">
        <f>VLOOKUP($D7,'4x4 MIX'!$B$4:$I$18,2,)</f>
        <v>Kralova Irena</v>
      </c>
      <c r="Q7" s="109" t="str">
        <f>VLOOKUP($D7,'4x4 MIX'!$B$4:$I$18,3,)</f>
        <v>Pecoraro Simona</v>
      </c>
      <c r="R7" s="109" t="str">
        <f>VLOOKUP($D7,'4x4 MIX'!$B$4:$I$18,4,)</f>
        <v>Marchese Emanuela</v>
      </c>
      <c r="S7" s="109" t="str">
        <f>VLOOKUP($D7,'4x4 MIX'!$B$4:$I$18,5,)</f>
        <v>Marchesini Matteo</v>
      </c>
      <c r="T7" s="109" t="str">
        <f>VLOOKUP($D7,'4x4 MIX'!$B$4:$I$18,6,)</f>
        <v>Ackerl Reinhard</v>
      </c>
      <c r="U7" s="109" t="str">
        <f>VLOOKUP($D7,'4x4 MIX'!$B$4:$I$18,7,)</f>
        <v>Ferri Alessandro</v>
      </c>
    </row>
    <row r="8" spans="1:24">
      <c r="A8" s="105" t="str">
        <f>+'4x4 MIX'!A32</f>
        <v>4x4Mix</v>
      </c>
      <c r="B8" s="105" t="str">
        <f>+'4x4 MIX'!B32</f>
        <v>D</v>
      </c>
      <c r="C8" s="105" t="str">
        <f>+'4x4 MIX'!C32</f>
        <v>Ferwanek</v>
      </c>
      <c r="D8" s="105" t="str">
        <f>+'4x4 MIX'!D32</f>
        <v>Mela Blinders</v>
      </c>
      <c r="E8" s="105">
        <f>+'4x4 MIX'!E32</f>
        <v>2</v>
      </c>
      <c r="F8" s="106">
        <f>+'4x4 MIX'!F32</f>
        <v>46186</v>
      </c>
      <c r="G8" s="107">
        <f>+'4x4 MIX'!G32</f>
        <v>0.375</v>
      </c>
      <c r="H8" s="108" t="str">
        <f>VLOOKUP(C8,'4x4 MIX'!$B$4:$J$18,9,)</f>
        <v>FRONTEX</v>
      </c>
      <c r="I8" s="108" t="str">
        <f>VLOOKUP(D8,'4x4 MIX'!$B$4:$J$18,9,)</f>
        <v>EUAA</v>
      </c>
      <c r="J8" s="108" t="str">
        <f>VLOOKUP(C8,'4x4 MIX'!$B$4:$I$18,2,)</f>
        <v>Aleksandra Wajda</v>
      </c>
      <c r="K8" s="108" t="str">
        <f>VLOOKUP(C8,'4x4 MIX'!$B$4:$I$18,3,)</f>
        <v>Federica Ferrari</v>
      </c>
      <c r="L8" s="108" t="str">
        <f>VLOOKUP(C8,'4x4 MIX'!$B$4:$I$18,4,)</f>
        <v>Damian Krzak</v>
      </c>
      <c r="M8" s="108" t="str">
        <f>VLOOKUP(C8,'4x4 MIX'!$B$4:$I$18,5,)</f>
        <v>Dariusz Neuhoff von der Ley</v>
      </c>
      <c r="N8" s="108" t="str">
        <f>VLOOKUP($C8,'4x4 MIX'!$B$4:$I$18,6,)</f>
        <v>Jori Tyni</v>
      </c>
      <c r="O8" s="108"/>
      <c r="P8" s="109" t="str">
        <f>VLOOKUP($D8,'4x4 MIX'!$B$4:$I$18,2,)</f>
        <v>Filothei</v>
      </c>
      <c r="Q8" s="109" t="str">
        <f>VLOOKUP($D8,'4x4 MIX'!$B$4:$I$18,3,)</f>
        <v>Anna Isabel</v>
      </c>
      <c r="R8" s="109" t="str">
        <f>VLOOKUP($D8,'4x4 MIX'!$B$4:$I$18,4,)</f>
        <v>Raquel</v>
      </c>
      <c r="S8" s="109" t="str">
        <f>VLOOKUP($D8,'4x4 MIX'!$B$4:$I$18,5,)</f>
        <v>Wade</v>
      </c>
      <c r="T8" s="109" t="str">
        <f>VLOOKUP($D8,'4x4 MIX'!$B$4:$I$18,6,)</f>
        <v>Valeria</v>
      </c>
      <c r="U8" s="109"/>
    </row>
    <row r="9" spans="1:24" ht="15.75" customHeight="1">
      <c r="A9" s="105" t="str">
        <f>+'4x4 MIX'!A33</f>
        <v>4x4Mix</v>
      </c>
      <c r="B9" s="105" t="str">
        <f>+'4x4 MIX'!B33</f>
        <v>E</v>
      </c>
      <c r="C9" s="105" t="str">
        <f>+'4x4 MIX'!C33</f>
        <v>Sometimes maybe good</v>
      </c>
      <c r="D9" s="105" t="str">
        <f>+'4x4 MIX'!D33</f>
        <v>EUROPOL 4 MIX</v>
      </c>
      <c r="E9" s="105">
        <f>+'4x4 MIX'!E33</f>
        <v>3</v>
      </c>
      <c r="F9" s="106">
        <f>+'4x4 MIX'!F33</f>
        <v>46186</v>
      </c>
      <c r="G9" s="107">
        <f>+'4x4 MIX'!G33</f>
        <v>0.39097222222222222</v>
      </c>
      <c r="H9" s="108" t="str">
        <f>VLOOKUP(C9,'4x4 MIX'!$B$4:$J$18,9,)</f>
        <v>EUROJUST</v>
      </c>
      <c r="I9" s="108" t="str">
        <f>VLOOKUP(D9,'4x4 MIX'!$B$4:$J$18,9,)</f>
        <v>EUROPOL</v>
      </c>
      <c r="J9" s="108" t="str">
        <f>VLOOKUP(C9,'4x4 MIX'!$B$4:$I$18,2,)</f>
        <v>Seixas Joao</v>
      </c>
      <c r="K9" s="108" t="str">
        <f>VLOOKUP(C9,'4x4 MIX'!$B$4:$I$18,3,)</f>
        <v>Conti Lucia</v>
      </c>
      <c r="L9" s="108" t="str">
        <f>VLOOKUP(C9,'4x4 MIX'!$B$4:$I$18,4,)</f>
        <v>Klayn Aglika</v>
      </c>
      <c r="M9" s="108" t="str">
        <f>VLOOKUP(C9,'4x4 MIX'!$B$4:$I$18,5,)</f>
        <v xml:space="preserve">Bonato Stefano </v>
      </c>
      <c r="N9" s="108" t="str">
        <f>VLOOKUP($C9,'4x4 MIX'!$B$4:$I$18,6,)</f>
        <v>Rausch Laura</v>
      </c>
      <c r="O9" s="108"/>
      <c r="P9" s="109" t="str">
        <f>VLOOKUP($D9,'4x4 MIX'!$B$4:$I$18,2,)</f>
        <v>Stanciu Anca</v>
      </c>
      <c r="Q9" s="109" t="str">
        <f>VLOOKUP($D9,'4x4 MIX'!$B$4:$I$18,3,)</f>
        <v>Serra Jose Manuel de Jesus</v>
      </c>
      <c r="R9" s="109" t="str">
        <f>VLOOKUP($D9,'4x4 MIX'!$B$4:$I$18,4,)</f>
        <v>Ciprian Istudor</v>
      </c>
      <c r="S9" s="109" t="str">
        <f>VLOOKUP($D9,'4x4 MIX'!$B$4:$I$18,5,)</f>
        <v>Federica C.</v>
      </c>
      <c r="T9" s="109"/>
      <c r="U9" s="109"/>
    </row>
    <row r="10" spans="1:24" ht="15.75" customHeight="1">
      <c r="A10" s="105" t="str">
        <f>+'4x4 MIX'!A34</f>
        <v>4x4Mix</v>
      </c>
      <c r="B10" s="105" t="str">
        <f>+'4x4 MIX'!B34</f>
        <v>C</v>
      </c>
      <c r="C10" s="105" t="str">
        <f>+'4x4 MIX'!C34</f>
        <v>EUAA Comets</v>
      </c>
      <c r="D10" s="105" t="str">
        <f>+'4x4 MIX'!D34</f>
        <v>Che fastidio</v>
      </c>
      <c r="E10" s="105">
        <f>+'4x4 MIX'!E34</f>
        <v>4</v>
      </c>
      <c r="F10" s="106">
        <f>+'4x4 MIX'!F34</f>
        <v>46186</v>
      </c>
      <c r="G10" s="107">
        <f>+'4x4 MIX'!G34</f>
        <v>0.39097222222222222</v>
      </c>
      <c r="H10" s="108" t="str">
        <f>VLOOKUP(C10,'4x4 MIX'!$B$4:$J$18,9,)</f>
        <v>EUAA</v>
      </c>
      <c r="I10" s="108" t="str">
        <f>VLOOKUP(D10,'4x4 MIX'!$B$4:$J$18,9,)</f>
        <v>JRC</v>
      </c>
      <c r="J10" s="108" t="str">
        <f>VLOOKUP(C10,'4x4 MIX'!$B$4:$I$18,2,)</f>
        <v>Tania</v>
      </c>
      <c r="K10" s="108" t="str">
        <f>VLOOKUP(C10,'4x4 MIX'!$B$4:$I$18,3,)</f>
        <v>Claudia</v>
      </c>
      <c r="L10" s="108" t="str">
        <f>VLOOKUP(C10,'4x4 MIX'!$B$4:$I$18,4,)</f>
        <v>Vasileios</v>
      </c>
      <c r="M10" s="108" t="str">
        <f>VLOOKUP(C10,'4x4 MIX'!$B$4:$I$18,5,)</f>
        <v>Daniela</v>
      </c>
      <c r="N10" s="108" t="str">
        <f>VLOOKUP($C10,'4x4 MIX'!$B$4:$I$18,6,)</f>
        <v>Maria</v>
      </c>
      <c r="O10" s="108"/>
      <c r="P10" s="109" t="str">
        <f>VLOOKUP($D10,'4x4 MIX'!$B$4:$I$18,2,)</f>
        <v>Michela</v>
      </c>
      <c r="Q10" s="109" t="str">
        <f>VLOOKUP($D10,'4x4 MIX'!$B$4:$I$18,3,)</f>
        <v>Silvio</v>
      </c>
      <c r="R10" s="109" t="str">
        <f>VLOOKUP($D10,'4x4 MIX'!$B$4:$I$18,4,)</f>
        <v>Flavio</v>
      </c>
      <c r="S10" s="109" t="str">
        <f>VLOOKUP($D10,'4x4 MIX'!$B$4:$I$18,5,)</f>
        <v>Elisa B.</v>
      </c>
      <c r="T10" s="109"/>
      <c r="U10" s="109"/>
    </row>
    <row r="11" spans="1:24" ht="15.75" customHeight="1">
      <c r="A11" s="105" t="str">
        <f>+'4x4 MIX'!A35</f>
        <v>4x4Mix</v>
      </c>
      <c r="B11" s="105" t="str">
        <f>+'4x4 MIX'!B35</f>
        <v>B</v>
      </c>
      <c r="C11" s="105" t="str">
        <f>+'4x4 MIX'!C35</f>
        <v>House of Medici</v>
      </c>
      <c r="D11" s="105" t="str">
        <f>+'4x4 MIX'!D35</f>
        <v>REALL</v>
      </c>
      <c r="E11" s="105">
        <f>+'4x4 MIX'!E35</f>
        <v>1</v>
      </c>
      <c r="F11" s="106">
        <f>+'4x4 MIX'!F35</f>
        <v>46186</v>
      </c>
      <c r="G11" s="107">
        <f>+'4x4 MIX'!G35</f>
        <v>0.39097222222222222</v>
      </c>
      <c r="H11" s="108" t="str">
        <f>VLOOKUP(C11,'4x4 MIX'!$B$4:$J$18,9,)</f>
        <v>EMA</v>
      </c>
      <c r="I11" s="108" t="str">
        <f>VLOOKUP(D11,'4x4 MIX'!$B$4:$J$18,9,)</f>
        <v>REA</v>
      </c>
      <c r="J11" s="108" t="str">
        <f>VLOOKUP(C11,'4x4 MIX'!$B$4:$I$18,2,)</f>
        <v>Mihaela Pereteatcu</v>
      </c>
      <c r="K11" s="108" t="str">
        <f>VLOOKUP(C11,'4x4 MIX'!$B$4:$I$18,3,)</f>
        <v>Valentina Cordo</v>
      </c>
      <c r="L11" s="108" t="str">
        <f>VLOOKUP(C11,'4x4 MIX'!$B$4:$I$18,4,)</f>
        <v>Thibaut Sauces</v>
      </c>
      <c r="M11" s="108" t="str">
        <f>VLOOKUP(C11,'4x4 MIX'!$B$4:$I$18,5,)</f>
        <v>Frank Pétavy</v>
      </c>
      <c r="N11" s="108" t="str">
        <f>VLOOKUP($C11,'4x4 MIX'!$B$4:$I$18,6,)</f>
        <v>Evangelos Kotzagiorgis</v>
      </c>
      <c r="O11" s="108" t="str">
        <f>VLOOKUP($C11,'4x4 MIX'!$B$4:$I$18,7,)</f>
        <v>Caroline Pothet</v>
      </c>
      <c r="P11" s="109" t="str">
        <f>VLOOKUP($D11,'4x4 MIX'!$B$4:$I$18,2,)</f>
        <v>Scioni Barbara</v>
      </c>
      <c r="Q11" s="109" t="str">
        <f>VLOOKUP($D11,'4x4 MIX'!$B$4:$I$18,3,)</f>
        <v xml:space="preserve">Medarova Keti </v>
      </c>
      <c r="R11" s="109" t="str">
        <f>VLOOKUP($D11,'4x4 MIX'!$B$4:$I$18,4,)</f>
        <v xml:space="preserve">Paunovic Ogren </v>
      </c>
      <c r="S11" s="109" t="str">
        <f>VLOOKUP($D11,'4x4 MIX'!$B$4:$I$18,5,)</f>
        <v xml:space="preserve">Amedja Ecki </v>
      </c>
      <c r="T11" s="109"/>
      <c r="U11" s="109"/>
    </row>
    <row r="12" spans="1:24" ht="15.75" customHeight="1">
      <c r="A12" s="105" t="str">
        <f>+'4x4 MIX'!A36</f>
        <v>4x4Mix</v>
      </c>
      <c r="B12" s="105" t="str">
        <f>+'4x4 MIX'!B36</f>
        <v>A</v>
      </c>
      <c r="C12" s="105" t="str">
        <f>+'4x4 MIX'!C36</f>
        <v>EFSA 6</v>
      </c>
      <c r="D12" s="105" t="str">
        <f>+'4x4 MIX'!D36</f>
        <v>Horizon setters</v>
      </c>
      <c r="E12" s="105">
        <f>+'4x4 MIX'!E36</f>
        <v>2</v>
      </c>
      <c r="F12" s="106">
        <f>+'4x4 MIX'!F36</f>
        <v>46186</v>
      </c>
      <c r="G12" s="107">
        <f>+'4x4 MIX'!G36</f>
        <v>0.39097222222222222</v>
      </c>
      <c r="H12" s="108" t="str">
        <f>VLOOKUP(C12,'4x4 MIX'!$B$4:$J$18,9,)</f>
        <v>EFSA</v>
      </c>
      <c r="I12" s="108" t="str">
        <f>VLOOKUP(D12,'4x4 MIX'!$B$4:$J$18,9,)</f>
        <v>REA</v>
      </c>
      <c r="J12" s="108" t="str">
        <f>VLOOKUP(C12,'4x4 MIX'!$B$4:$I$18,2,)</f>
        <v>Kralova Irena</v>
      </c>
      <c r="K12" s="108" t="str">
        <f>VLOOKUP(C12,'4x4 MIX'!$B$4:$I$18,3,)</f>
        <v>Pecoraro Simona</v>
      </c>
      <c r="L12" s="108" t="str">
        <f>VLOOKUP(C12,'4x4 MIX'!$B$4:$I$18,4,)</f>
        <v>Marchese Emanuela</v>
      </c>
      <c r="M12" s="108" t="str">
        <f>VLOOKUP(C12,'4x4 MIX'!$B$4:$I$18,5,)</f>
        <v>Marchesini Matteo</v>
      </c>
      <c r="N12" s="108" t="str">
        <f>VLOOKUP($C12,'4x4 MIX'!$B$4:$I$18,6,)</f>
        <v>Ackerl Reinhard</v>
      </c>
      <c r="O12" s="108" t="str">
        <f>VLOOKUP($C12,'4x4 MIX'!$B$4:$I$18,7,)</f>
        <v>Ferri Alessandro</v>
      </c>
      <c r="P12" s="109" t="str">
        <f>VLOOKUP($D12,'4x4 MIX'!$B$4:$I$18,2,)</f>
        <v xml:space="preserve">Piiroja Ivi </v>
      </c>
      <c r="Q12" s="109" t="str">
        <f>VLOOKUP($D12,'4x4 MIX'!$B$4:$I$18,3,)</f>
        <v>ANTONELLI Margherita</v>
      </c>
      <c r="R12" s="109" t="str">
        <f>VLOOKUP($D12,'4x4 MIX'!$B$4:$I$18,4,)</f>
        <v xml:space="preserve">Deniz Javier </v>
      </c>
      <c r="S12" s="109" t="str">
        <f>VLOOKUP($D12,'4x4 MIX'!$B$4:$I$18,5,)</f>
        <v xml:space="preserve">Napolitano Andrea </v>
      </c>
      <c r="T12" s="109"/>
      <c r="U12" s="109"/>
    </row>
    <row r="13" spans="1:24" ht="15.75" customHeight="1">
      <c r="A13" s="105" t="str">
        <f>+'4x4 MIX'!A37</f>
        <v>4x4Mix</v>
      </c>
      <c r="B13" s="105" t="str">
        <f>+'4x4 MIX'!B37</f>
        <v>D</v>
      </c>
      <c r="C13" s="105" t="str">
        <f>+'4x4 MIX'!C37</f>
        <v>Mela Blinders</v>
      </c>
      <c r="D13" s="105" t="str">
        <f>+'4x4 MIX'!D37</f>
        <v>Sand by me</v>
      </c>
      <c r="E13" s="105">
        <f>+'4x4 MIX'!E37</f>
        <v>3</v>
      </c>
      <c r="F13" s="106">
        <f>+'4x4 MIX'!F37</f>
        <v>46186</v>
      </c>
      <c r="G13" s="107">
        <f>+'4x4 MIX'!G37</f>
        <v>0.40694444444444444</v>
      </c>
      <c r="H13" s="108" t="str">
        <f>VLOOKUP(C13,'4x4 MIX'!$B$4:$J$18,9,)</f>
        <v>EUAA</v>
      </c>
      <c r="I13" s="108" t="str">
        <f>VLOOKUP(D13,'4x4 MIX'!$B$4:$J$18,9,)</f>
        <v>JRC</v>
      </c>
      <c r="J13" s="108" t="str">
        <f>VLOOKUP(C13,'4x4 MIX'!$B$4:$I$18,2,)</f>
        <v>Filothei</v>
      </c>
      <c r="K13" s="108" t="str">
        <f>VLOOKUP(C13,'4x4 MIX'!$B$4:$I$18,3,)</f>
        <v>Anna Isabel</v>
      </c>
      <c r="L13" s="108" t="str">
        <f>VLOOKUP(C13,'4x4 MIX'!$B$4:$I$18,4,)</f>
        <v>Raquel</v>
      </c>
      <c r="M13" s="108" t="str">
        <f>VLOOKUP(C13,'4x4 MIX'!$B$4:$I$18,5,)</f>
        <v>Wade</v>
      </c>
      <c r="N13" s="108" t="str">
        <f>VLOOKUP($C13,'4x4 MIX'!$B$4:$I$18,6,)</f>
        <v>Valeria</v>
      </c>
      <c r="O13" s="108"/>
      <c r="P13" s="109" t="str">
        <f>VLOOKUP($D13,'4x4 MIX'!$B$4:$I$18,2,)</f>
        <v>Daniele</v>
      </c>
      <c r="Q13" s="109" t="str">
        <f>VLOOKUP($D13,'4x4 MIX'!$B$4:$I$18,3,)</f>
        <v>Fabio</v>
      </c>
      <c r="R13" s="109" t="str">
        <f>VLOOKUP($D13,'4x4 MIX'!$B$4:$I$18,4,)</f>
        <v>Roberto</v>
      </c>
      <c r="S13" s="109" t="str">
        <f>VLOOKUP($D13,'4x4 MIX'!$B$4:$I$18,5,)</f>
        <v>Federica R.</v>
      </c>
      <c r="T13" s="109" t="str">
        <f>VLOOKUP($D13,'4x4 MIX'!$B$4:$I$18,6,)</f>
        <v>Ilaria</v>
      </c>
      <c r="U13" s="109"/>
    </row>
    <row r="14" spans="1:24" ht="15.75" customHeight="1">
      <c r="A14" s="105" t="str">
        <f>+'4x4 MIX'!A38</f>
        <v>4x4Mix</v>
      </c>
      <c r="B14" s="105" t="str">
        <f>+'4x4 MIX'!B38</f>
        <v>E</v>
      </c>
      <c r="C14" s="105" t="str">
        <f>+'4x4 MIX'!C38</f>
        <v>EUROPOL 4 MIX</v>
      </c>
      <c r="D14" s="105" t="str">
        <f>+'4x4 MIX'!D38</f>
        <v>Upsand Down</v>
      </c>
      <c r="E14" s="105">
        <f>+'4x4 MIX'!E38</f>
        <v>4</v>
      </c>
      <c r="F14" s="106">
        <f>+'4x4 MIX'!F38</f>
        <v>46186</v>
      </c>
      <c r="G14" s="107">
        <f>+'4x4 MIX'!G38</f>
        <v>0.40694444444444444</v>
      </c>
      <c r="H14" s="108" t="str">
        <f>VLOOKUP(C14,'4x4 MIX'!$B$4:$J$18,9,)</f>
        <v>EUROPOL</v>
      </c>
      <c r="I14" s="108" t="str">
        <f>VLOOKUP(D14,'4x4 MIX'!$B$4:$J$18,9,)</f>
        <v>JRC</v>
      </c>
      <c r="J14" s="108" t="str">
        <f>VLOOKUP(C14,'4x4 MIX'!$B$4:$I$18,2,)</f>
        <v>Stanciu Anca</v>
      </c>
      <c r="K14" s="108" t="str">
        <f>VLOOKUP(C14,'4x4 MIX'!$B$4:$I$18,3,)</f>
        <v>Serra Jose Manuel de Jesus</v>
      </c>
      <c r="L14" s="108" t="str">
        <f>VLOOKUP(C14,'4x4 MIX'!$B$4:$I$18,4,)</f>
        <v>Ciprian Istudor</v>
      </c>
      <c r="M14" s="108" t="str">
        <f>VLOOKUP(C14,'4x4 MIX'!$B$4:$I$18,5,)</f>
        <v>Federica C.</v>
      </c>
      <c r="N14" s="108"/>
      <c r="O14" s="108"/>
      <c r="P14" s="109" t="str">
        <f>VLOOKUP($D14,'4x4 MIX'!$B$4:$I$18,2,)</f>
        <v>Tom</v>
      </c>
      <c r="Q14" s="109" t="str">
        <f>VLOOKUP($D14,'4x4 MIX'!$B$4:$I$18,3,)</f>
        <v>Mauro Gabbarini</v>
      </c>
      <c r="R14" s="109" t="str">
        <f>VLOOKUP($D14,'4x4 MIX'!$B$4:$I$18,4,)</f>
        <v>Federica Ferretti</v>
      </c>
      <c r="S14" s="109" t="str">
        <f>VLOOKUP($D14,'4x4 MIX'!$B$4:$I$18,5,)</f>
        <v>Diana</v>
      </c>
      <c r="T14" s="109"/>
      <c r="U14" s="109"/>
    </row>
    <row r="15" spans="1:24" ht="15.75" customHeight="1">
      <c r="A15" s="105" t="str">
        <f>+'4x4 MIX'!A39</f>
        <v>4x4Mix</v>
      </c>
      <c r="B15" s="105" t="str">
        <f>+'4x4 MIX'!B39</f>
        <v>C</v>
      </c>
      <c r="C15" s="105" t="str">
        <f>+'4x4 MIX'!C39</f>
        <v>Aperol</v>
      </c>
      <c r="D15" s="105" t="str">
        <f>+'4x4 MIX'!D39</f>
        <v>Che fastidio</v>
      </c>
      <c r="E15" s="105">
        <f>+'4x4 MIX'!E39</f>
        <v>1</v>
      </c>
      <c r="F15" s="106">
        <f>+'4x4 MIX'!F39</f>
        <v>46186</v>
      </c>
      <c r="G15" s="107">
        <f>+'4x4 MIX'!G39</f>
        <v>0.40694444444444444</v>
      </c>
      <c r="H15" s="108" t="str">
        <f>VLOOKUP(C15,'4x4 MIX'!$B$4:$J$18,9,)</f>
        <v>FRONTEX</v>
      </c>
      <c r="I15" s="108" t="str">
        <f>VLOOKUP(D15,'4x4 MIX'!$B$4:$J$18,9,)</f>
        <v>JRC</v>
      </c>
      <c r="J15" s="108" t="str">
        <f>VLOOKUP(C15,'4x4 MIX'!$B$4:$I$18,2,)</f>
        <v>Monika Ciesielska</v>
      </c>
      <c r="K15" s="108" t="str">
        <f>VLOOKUP(C15,'4x4 MIX'!$B$4:$I$18,3,)</f>
        <v>Evgenia Kalogeropoulou</v>
      </c>
      <c r="L15" s="108" t="str">
        <f>VLOOKUP(C15,'4x4 MIX'!$B$4:$I$18,4,)</f>
        <v>Filipe Paisana</v>
      </c>
      <c r="M15" s="108" t="str">
        <f>VLOOKUP(C15,'4x4 MIX'!$B$4:$I$18,5,)</f>
        <v>Jakub Banka</v>
      </c>
      <c r="N15" s="108" t="str">
        <f>VLOOKUP($C15,'4x4 MIX'!$B$4:$I$18,6,)</f>
        <v>Claudiu Chirias</v>
      </c>
      <c r="O15" s="108" t="str">
        <f>VLOOKUP($C15,'4x4 MIX'!$B$4:$I$18,7,)</f>
        <v>Georgios Dimitropoulos</v>
      </c>
      <c r="P15" s="109" t="str">
        <f>VLOOKUP($D15,'4x4 MIX'!$B$4:$I$18,2,)</f>
        <v>Michela</v>
      </c>
      <c r="Q15" s="109" t="str">
        <f>VLOOKUP($D15,'4x4 MIX'!$B$4:$I$18,3,)</f>
        <v>Silvio</v>
      </c>
      <c r="R15" s="109" t="str">
        <f>VLOOKUP($D15,'4x4 MIX'!$B$4:$I$18,4,)</f>
        <v>Flavio</v>
      </c>
      <c r="S15" s="109" t="str">
        <f>VLOOKUP($D15,'4x4 MIX'!$B$4:$I$18,5,)</f>
        <v>Elisa B.</v>
      </c>
      <c r="T15" s="109"/>
      <c r="U15" s="109"/>
    </row>
    <row r="16" spans="1:24" ht="15.75" customHeight="1">
      <c r="A16" s="105" t="str">
        <f>+'4x4 MIX'!A40</f>
        <v>4x4Mix</v>
      </c>
      <c r="B16" s="105" t="str">
        <f>+'4x4 MIX'!B40</f>
        <v>B</v>
      </c>
      <c r="C16" s="105" t="str">
        <f>+'4x4 MIX'!C40</f>
        <v>Dandy Dandelions</v>
      </c>
      <c r="D16" s="105" t="str">
        <f>+'4x4 MIX'!D40</f>
        <v>REALL</v>
      </c>
      <c r="E16" s="105">
        <f>+'4x4 MIX'!E40</f>
        <v>2</v>
      </c>
      <c r="F16" s="106">
        <f>+'4x4 MIX'!F40</f>
        <v>46186</v>
      </c>
      <c r="G16" s="107">
        <f>+'4x4 MIX'!G40</f>
        <v>0.40694444444444444</v>
      </c>
      <c r="H16" s="108" t="str">
        <f>VLOOKUP(C16,'4x4 MIX'!$B$4:$J$18,9,)</f>
        <v>FRONTEX</v>
      </c>
      <c r="I16" s="108" t="str">
        <f>VLOOKUP(D16,'4x4 MIX'!$B$4:$J$18,9,)</f>
        <v>REA</v>
      </c>
      <c r="J16" s="108" t="str">
        <f>VLOOKUP(C16,'4x4 MIX'!$B$4:$I$18,2,)</f>
        <v>Anna Sofia Messeri</v>
      </c>
      <c r="K16" s="108" t="str">
        <f>VLOOKUP(C16,'4x4 MIX'!$B$4:$I$18,3,)</f>
        <v>Natalia Alberska</v>
      </c>
      <c r="L16" s="108" t="str">
        <f>VLOOKUP(C16,'4x4 MIX'!$B$4:$I$18,4,)</f>
        <v>Radovan Kyselica</v>
      </c>
      <c r="M16" s="108" t="str">
        <f>VLOOKUP(C16,'4x4 MIX'!$B$4:$I$18,5,)</f>
        <v>Oliver Bosnar</v>
      </c>
      <c r="N16" s="108" t="str">
        <f>VLOOKUP($C16,'4x4 MIX'!$B$4:$I$18,6,)</f>
        <v>Mateusz Rudzik</v>
      </c>
      <c r="O16" s="108"/>
      <c r="P16" s="109" t="str">
        <f>VLOOKUP($D16,'4x4 MIX'!$B$4:$I$18,2,)</f>
        <v>Scioni Barbara</v>
      </c>
      <c r="Q16" s="109" t="str">
        <f>VLOOKUP($D16,'4x4 MIX'!$B$4:$I$18,3,)</f>
        <v xml:space="preserve">Medarova Keti </v>
      </c>
      <c r="R16" s="109" t="str">
        <f>VLOOKUP($D16,'4x4 MIX'!$B$4:$I$18,4,)</f>
        <v xml:space="preserve">Paunovic Ogren </v>
      </c>
      <c r="S16" s="109" t="str">
        <f>VLOOKUP($D16,'4x4 MIX'!$B$4:$I$18,5,)</f>
        <v xml:space="preserve">Amedja Ecki </v>
      </c>
      <c r="T16" s="109"/>
      <c r="U16" s="109"/>
    </row>
    <row r="17" spans="1:21" ht="15" customHeight="1">
      <c r="A17" s="105" t="str">
        <f>+'4x4 MIX'!A41</f>
        <v>4x4Mix</v>
      </c>
      <c r="B17" s="105" t="str">
        <f>+'4x4 MIX'!B41</f>
        <v>A</v>
      </c>
      <c r="C17" s="105" t="str">
        <f>+'4x4 MIX'!C41</f>
        <v>EUIPO 5</v>
      </c>
      <c r="D17" s="105" t="str">
        <f>+'4x4 MIX'!D41</f>
        <v>Horizon setters</v>
      </c>
      <c r="E17" s="105">
        <f>+'4x4 MIX'!E41</f>
        <v>3</v>
      </c>
      <c r="F17" s="106">
        <f>+'4x4 MIX'!F41</f>
        <v>46186</v>
      </c>
      <c r="G17" s="107">
        <f>+'4x4 MIX'!G41</f>
        <v>0.42291666666666666</v>
      </c>
      <c r="H17" s="108" t="str">
        <f>VLOOKUP(C17,'4x4 MIX'!$B$4:$J$18,9,)</f>
        <v>EUIPO</v>
      </c>
      <c r="I17" s="108" t="str">
        <f>VLOOKUP(D17,'4x4 MIX'!$B$4:$J$18,9,)</f>
        <v>REA</v>
      </c>
      <c r="J17" s="108" t="str">
        <f>VLOOKUP(C17,'4x4 MIX'!$B$4:$I$18,2,)</f>
        <v>CSENKE JUDIT</v>
      </c>
      <c r="K17" s="108" t="str">
        <f>VLOOKUP(C17,'4x4 MIX'!$B$4:$I$18,3,)</f>
        <v>BILLERAULT AURELIEN</v>
      </c>
      <c r="L17" s="108" t="str">
        <f>VLOOKUP(C17,'4x4 MIX'!$B$4:$I$18,4,)</f>
        <v>CORRADO ALESSANDRO</v>
      </c>
      <c r="M17" s="108" t="str">
        <f>VLOOKUP(C17,'4x4 MIX'!$B$4:$I$18,5,)</f>
        <v>GURRIERI ROSARIO</v>
      </c>
      <c r="N17" s="108" t="str">
        <f>VLOOKUP($C17,'4x4 MIX'!$B$4:$I$18,6,)</f>
        <v>ROMERO JULIAN</v>
      </c>
      <c r="O17" s="108" t="str">
        <f>VLOOKUP($C17,'4x4 MIX'!$B$4:$I$18,7,)</f>
        <v>Federica Foti</v>
      </c>
      <c r="P17" s="109" t="str">
        <f>VLOOKUP($D17,'4x4 MIX'!$B$4:$I$18,2,)</f>
        <v xml:space="preserve">Piiroja Ivi </v>
      </c>
      <c r="Q17" s="109" t="str">
        <f>VLOOKUP($D17,'4x4 MIX'!$B$4:$I$18,3,)</f>
        <v>ANTONELLI Margherita</v>
      </c>
      <c r="R17" s="109" t="str">
        <f>VLOOKUP($D17,'4x4 MIX'!$B$4:$I$18,4,)</f>
        <v xml:space="preserve">Deniz Javier </v>
      </c>
      <c r="S17" s="109" t="str">
        <f>VLOOKUP($D17,'4x4 MIX'!$B$4:$I$18,5,)</f>
        <v xml:space="preserve">Napolitano Andrea </v>
      </c>
      <c r="T17" s="109"/>
      <c r="U17" s="109"/>
    </row>
    <row r="18" spans="1:21" ht="15.75" customHeight="1">
      <c r="A18" s="105" t="str">
        <f>+'4x4 MIX'!A42</f>
        <v>4x4Mix</v>
      </c>
      <c r="B18" s="105" t="str">
        <f>+'4x4 MIX'!B42</f>
        <v>D</v>
      </c>
      <c r="C18" s="105" t="str">
        <f>+'4x4 MIX'!C42</f>
        <v>Ferwanek</v>
      </c>
      <c r="D18" s="105" t="str">
        <f>+'4x4 MIX'!D42</f>
        <v>Sand by me</v>
      </c>
      <c r="E18" s="105">
        <f>+'4x4 MIX'!E42</f>
        <v>4</v>
      </c>
      <c r="F18" s="106">
        <f>+'4x4 MIX'!F42</f>
        <v>46186</v>
      </c>
      <c r="G18" s="107">
        <f>+'4x4 MIX'!G42</f>
        <v>0.42291666666666666</v>
      </c>
      <c r="H18" s="108" t="str">
        <f>VLOOKUP(C18,'4x4 MIX'!$B$4:$J$18,9,)</f>
        <v>FRONTEX</v>
      </c>
      <c r="I18" s="108" t="str">
        <f>VLOOKUP(D18,'4x4 MIX'!$B$4:$J$18,9,)</f>
        <v>JRC</v>
      </c>
      <c r="J18" s="108" t="str">
        <f>VLOOKUP(C18,'4x4 MIX'!$B$4:$I$18,2,)</f>
        <v>Aleksandra Wajda</v>
      </c>
      <c r="K18" s="108" t="str">
        <f>VLOOKUP(C18,'4x4 MIX'!$B$4:$I$18,3,)</f>
        <v>Federica Ferrari</v>
      </c>
      <c r="L18" s="108" t="str">
        <f>VLOOKUP(C18,'4x4 MIX'!$B$4:$I$18,4,)</f>
        <v>Damian Krzak</v>
      </c>
      <c r="M18" s="108" t="str">
        <f>VLOOKUP(C18,'4x4 MIX'!$B$4:$I$18,5,)</f>
        <v>Dariusz Neuhoff von der Ley</v>
      </c>
      <c r="N18" s="108" t="str">
        <f>VLOOKUP($C18,'4x4 MIX'!$B$4:$I$18,6,)</f>
        <v>Jori Tyni</v>
      </c>
      <c r="O18" s="108"/>
      <c r="P18" s="109" t="str">
        <f>VLOOKUP($D18,'4x4 MIX'!$B$4:$I$18,2,)</f>
        <v>Daniele</v>
      </c>
      <c r="Q18" s="109" t="str">
        <f>VLOOKUP($D18,'4x4 MIX'!$B$4:$I$18,3,)</f>
        <v>Fabio</v>
      </c>
      <c r="R18" s="109" t="str">
        <f>VLOOKUP($D18,'4x4 MIX'!$B$4:$I$18,4,)</f>
        <v>Roberto</v>
      </c>
      <c r="S18" s="109" t="str">
        <f>VLOOKUP($D18,'4x4 MIX'!$B$4:$I$18,5,)</f>
        <v>Federica R.</v>
      </c>
      <c r="T18" s="109" t="str">
        <f>VLOOKUP($D18,'4x4 MIX'!$B$4:$I$18,6,)</f>
        <v>Ilaria</v>
      </c>
      <c r="U18" s="109"/>
    </row>
    <row r="19" spans="1:21" ht="15.75" customHeight="1">
      <c r="A19" s="105" t="str">
        <f>+'4x4 MIX'!A43</f>
        <v>4x4Mix</v>
      </c>
      <c r="B19" s="105" t="str">
        <f>+'4x4 MIX'!B43</f>
        <v>E</v>
      </c>
      <c r="C19" s="105" t="str">
        <f>+'4x4 MIX'!C43</f>
        <v>Sometimes maybe good</v>
      </c>
      <c r="D19" s="105" t="str">
        <f>+'4x4 MIX'!D43</f>
        <v>Upsand Down</v>
      </c>
      <c r="E19" s="105">
        <f>+'4x4 MIX'!E43</f>
        <v>1</v>
      </c>
      <c r="F19" s="106">
        <f>+'4x4 MIX'!F43</f>
        <v>46186</v>
      </c>
      <c r="G19" s="107">
        <f>+'4x4 MIX'!G43</f>
        <v>0.42291666666666666</v>
      </c>
      <c r="H19" s="108" t="str">
        <f>VLOOKUP(C19,'4x4 MIX'!$B$4:$J$18,9,)</f>
        <v>EUROJUST</v>
      </c>
      <c r="I19" s="108" t="str">
        <f>VLOOKUP(D19,'4x4 MIX'!$B$4:$J$18,9,)</f>
        <v>JRC</v>
      </c>
      <c r="J19" s="108" t="str">
        <f>VLOOKUP(C19,'4x4 MIX'!$B$4:$I$18,2,)</f>
        <v>Seixas Joao</v>
      </c>
      <c r="K19" s="108" t="str">
        <f>VLOOKUP(C19,'4x4 MIX'!$B$4:$I$18,3,)</f>
        <v>Conti Lucia</v>
      </c>
      <c r="L19" s="108" t="str">
        <f>VLOOKUP(C19,'4x4 MIX'!$B$4:$I$18,4,)</f>
        <v>Klayn Aglika</v>
      </c>
      <c r="M19" s="108" t="str">
        <f>VLOOKUP(C19,'4x4 MIX'!$B$4:$I$18,5,)</f>
        <v xml:space="preserve">Bonato Stefano </v>
      </c>
      <c r="N19" s="108" t="str">
        <f>VLOOKUP($C19,'4x4 MIX'!$B$4:$I$18,6,)</f>
        <v>Rausch Laura</v>
      </c>
      <c r="O19" s="108"/>
      <c r="P19" s="109" t="str">
        <f>VLOOKUP($D19,'4x4 MIX'!$B$4:$I$18,2,)</f>
        <v>Tom</v>
      </c>
      <c r="Q19" s="109" t="str">
        <f>VLOOKUP($D19,'4x4 MIX'!$B$4:$I$18,3,)</f>
        <v>Mauro Gabbarini</v>
      </c>
      <c r="R19" s="109" t="str">
        <f>VLOOKUP($D19,'4x4 MIX'!$B$4:$I$18,4,)</f>
        <v>Federica Ferretti</v>
      </c>
      <c r="S19" s="109" t="str">
        <f>VLOOKUP($D19,'4x4 MIX'!$B$4:$I$18,5,)</f>
        <v>Diana</v>
      </c>
      <c r="T19" s="109"/>
      <c r="U19" s="109"/>
    </row>
    <row r="20" spans="1:21" s="88" customFormat="1" ht="15.75" customHeight="1">
      <c r="A20" s="105" t="str">
        <f>+'4x4 MIX'!A44</f>
        <v>4x4Mix</v>
      </c>
      <c r="B20" s="105" t="str">
        <f>+'4x4 MIX'!B44</f>
        <v>Playoffs</v>
      </c>
      <c r="C20" s="105" t="str">
        <f>+'4x4 MIX'!C44</f>
        <v>Group winner
5th best ranked team</v>
      </c>
      <c r="D20" s="105" t="str">
        <f>+'4x4 MIX'!D44</f>
        <v>Group winner
4th best ranked team</v>
      </c>
      <c r="E20" s="105">
        <f>+'4x4 MIX'!E44</f>
        <v>1</v>
      </c>
      <c r="F20" s="106">
        <f>+'4x4 MIX'!F44</f>
        <v>46186</v>
      </c>
      <c r="G20" s="107">
        <f>+'4x4 MIX'!G44</f>
        <v>0.43888888888888888</v>
      </c>
      <c r="H20" s="108"/>
      <c r="I20" s="108"/>
      <c r="J20" s="108"/>
      <c r="K20" s="108"/>
      <c r="L20" s="108"/>
      <c r="M20" s="108"/>
      <c r="N20" s="108"/>
      <c r="O20" s="108"/>
      <c r="P20" s="109"/>
      <c r="Q20" s="109"/>
      <c r="R20" s="109"/>
      <c r="S20" s="109"/>
      <c r="T20" s="109"/>
      <c r="U20" s="109"/>
    </row>
    <row r="21" spans="1:21" s="88" customFormat="1" ht="15.75" customHeight="1">
      <c r="A21" s="105" t="str">
        <f>+'4x4 MIX'!A45</f>
        <v>4x4Mix</v>
      </c>
      <c r="B21" s="105" t="str">
        <f>+'4x4 MIX'!B45</f>
        <v>Playoffs</v>
      </c>
      <c r="C21" s="105" t="str">
        <f>+'4x4 MIX'!C45</f>
        <v>Group winner
3rd best ranked team</v>
      </c>
      <c r="D21" s="105" t="str">
        <f>+'4x4 MIX'!D45</f>
        <v>Best second of the groups</v>
      </c>
      <c r="E21" s="105">
        <f>+'4x4 MIX'!E45</f>
        <v>2</v>
      </c>
      <c r="F21" s="106">
        <f>+'4x4 MIX'!F45</f>
        <v>46186</v>
      </c>
      <c r="G21" s="107">
        <f>+'4x4 MIX'!G45</f>
        <v>0.43888888888888888</v>
      </c>
      <c r="H21" s="108"/>
      <c r="I21" s="108"/>
      <c r="J21" s="108"/>
      <c r="K21" s="108"/>
      <c r="L21" s="108"/>
      <c r="M21" s="108"/>
      <c r="N21" s="108"/>
      <c r="O21" s="108"/>
      <c r="P21" s="109"/>
      <c r="Q21" s="109"/>
      <c r="R21" s="109"/>
      <c r="S21" s="109"/>
      <c r="T21" s="109"/>
      <c r="U21" s="109"/>
    </row>
    <row r="22" spans="1:21">
      <c r="A22" s="105" t="str">
        <f>+'2x2M'!A31</f>
        <v>2x2M</v>
      </c>
      <c r="B22" s="105" t="str">
        <f>+'2x2M'!B31</f>
        <v>A</v>
      </c>
      <c r="C22" s="105" t="str">
        <f>+'2x2M'!C31</f>
        <v>Too hot for indoor</v>
      </c>
      <c r="D22" s="105" t="str">
        <f>+'2x2M'!D31</f>
        <v>Chill-out</v>
      </c>
      <c r="E22" s="105">
        <f>+'2x2M'!E31</f>
        <v>1</v>
      </c>
      <c r="F22" s="106">
        <f>+'2x2M'!F31</f>
        <v>46186</v>
      </c>
      <c r="G22" s="107">
        <f>+'2x2M'!G31</f>
        <v>0.4548611111111111</v>
      </c>
      <c r="H22" s="108" t="str">
        <f>VLOOKUP(C22,'2x2M'!$B$5:$E$18,4,)</f>
        <v>JRC</v>
      </c>
      <c r="I22" s="108" t="str">
        <f>VLOOKUP(D22,'2x2M'!$B$5:$E$18,4,)</f>
        <v>FRONTEX</v>
      </c>
      <c r="J22" s="108" t="str">
        <f>VLOOKUP(C22,'2x2M'!B$5:D$18,2,)</f>
        <v>Daniele</v>
      </c>
      <c r="K22" s="108" t="str">
        <f>VLOOKUP(C22,'2x2M'!$B$5:$D$18,3,)</f>
        <v>Carlo</v>
      </c>
      <c r="L22" s="108" t="str">
        <f>VLOOKUP(D22,'2x2M'!$B$5:$D$18,2,)</f>
        <v>Mateusz Rudzik</v>
      </c>
      <c r="M22" s="108" t="str">
        <f>VLOOKUP(D22,'2x2M'!$B$5:$D$18,3,)</f>
        <v>Mariusz Dzierżawski</v>
      </c>
      <c r="N22" s="108"/>
      <c r="O22" s="108"/>
      <c r="P22" s="98"/>
      <c r="Q22" s="98"/>
      <c r="R22" s="98"/>
      <c r="S22" s="98"/>
      <c r="T22" s="98"/>
      <c r="U22" s="98"/>
    </row>
    <row r="23" spans="1:21">
      <c r="A23" s="105" t="str">
        <f>+'2x2M'!A32</f>
        <v>2x2M</v>
      </c>
      <c r="B23" s="105" t="str">
        <f>+'2x2M'!B32</f>
        <v>B</v>
      </c>
      <c r="C23" s="105" t="str">
        <f>+'2x2M'!C32</f>
        <v>Europol 2x2 men</v>
      </c>
      <c r="D23" s="105" t="str">
        <f>+'2x2M'!D32</f>
        <v>Ballbreakers</v>
      </c>
      <c r="E23" s="105">
        <f>+'2x2M'!E32</f>
        <v>2</v>
      </c>
      <c r="F23" s="106">
        <f>+'2x2M'!F32</f>
        <v>46186</v>
      </c>
      <c r="G23" s="107">
        <f>+'2x2M'!G32</f>
        <v>0.4548611111111111</v>
      </c>
      <c r="H23" s="108" t="str">
        <f>VLOOKUP(C23,'2x2M'!$B$5:$E$18,4,)</f>
        <v>EUROPOL</v>
      </c>
      <c r="I23" s="108" t="str">
        <f>VLOOKUP(D23,'2x2M'!$B$5:$E$18,4,)</f>
        <v>FRONTEX</v>
      </c>
      <c r="J23" s="108" t="str">
        <f>VLOOKUP(C23,'2x2M'!B$5:D$18,2,)</f>
        <v>Ciprian Istudor</v>
      </c>
      <c r="K23" s="108" t="str">
        <f>VLOOKUP(C23,'2x2M'!$B$5:$D$18,3,)</f>
        <v>Ionut Sava</v>
      </c>
      <c r="L23" s="108" t="str">
        <f>VLOOKUP(D23,'2x2M'!$B$5:$D$18,2,)</f>
        <v>Oliver Bosnar</v>
      </c>
      <c r="M23" s="108" t="str">
        <f>VLOOKUP(D23,'2x2M'!$B$5:$D$18,3,)</f>
        <v>Michal Narojek</v>
      </c>
      <c r="N23" s="108"/>
      <c r="O23" s="108"/>
      <c r="P23" s="98"/>
      <c r="Q23" s="98"/>
      <c r="R23" s="98"/>
      <c r="S23" s="98"/>
      <c r="T23" s="98"/>
      <c r="U23" s="98"/>
    </row>
    <row r="24" spans="1:21">
      <c r="A24" s="105" t="str">
        <f>+'2x2M'!A33</f>
        <v>2x2M</v>
      </c>
      <c r="B24" s="105" t="str">
        <f>+'2x2M'!B33</f>
        <v>C</v>
      </c>
      <c r="C24" s="105" t="str">
        <f>+'2x2M'!C33</f>
        <v>Bacalhau&amp;porchetta</v>
      </c>
      <c r="D24" s="105" t="str">
        <f>+'2x2M'!D33</f>
        <v>DP's</v>
      </c>
      <c r="E24" s="105">
        <f>+'2x2M'!E33</f>
        <v>1</v>
      </c>
      <c r="F24" s="106">
        <f>+'2x2M'!F33</f>
        <v>46186</v>
      </c>
      <c r="G24" s="107">
        <f>+'2x2M'!G33</f>
        <v>0.47083333333333333</v>
      </c>
      <c r="H24" s="108" t="str">
        <f>VLOOKUP(C24,'2x2M'!$B$5:$E$18,4,)</f>
        <v>EUROJUST</v>
      </c>
      <c r="I24" s="108" t="str">
        <f>VLOOKUP(D24,'2x2M'!$B$5:$E$18,4,)</f>
        <v>FRONTEX</v>
      </c>
      <c r="J24" s="108" t="str">
        <f>VLOOKUP(C24,'2x2M'!B$5:D$18,2,)</f>
        <v>Seixas Joao</v>
      </c>
      <c r="K24" s="108" t="str">
        <f>VLOOKUP(C24,'2x2M'!$B$5:$D$18,3,)</f>
        <v xml:space="preserve">Bonato Stefano </v>
      </c>
      <c r="L24" s="108" t="str">
        <f>VLOOKUP(D24,'2x2M'!$B$5:$D$18,2,)</f>
        <v>Filipe Paisana</v>
      </c>
      <c r="M24" s="108" t="str">
        <f>VLOOKUP(D24,'2x2M'!$B$5:$D$18,3,)</f>
        <v>Georgios Dimitropoulos</v>
      </c>
      <c r="N24" s="108"/>
      <c r="O24" s="108"/>
      <c r="P24" s="98"/>
      <c r="Q24" s="98"/>
      <c r="R24" s="98"/>
      <c r="S24" s="98"/>
      <c r="T24" s="98"/>
      <c r="U24" s="98"/>
    </row>
    <row r="25" spans="1:21">
      <c r="A25" s="105" t="str">
        <f>+'2x2M'!A34</f>
        <v>2x2M</v>
      </c>
      <c r="B25" s="105" t="str">
        <f>+'2x2M'!B34</f>
        <v>D</v>
      </c>
      <c r="C25" s="105" t="str">
        <f>+'2x2M'!C34</f>
        <v>EFSA 1</v>
      </c>
      <c r="D25" s="105" t="str">
        <f>+'2x2M'!D34</f>
        <v>Que farà Farà</v>
      </c>
      <c r="E25" s="105">
        <f>+'2x2M'!E34</f>
        <v>2</v>
      </c>
      <c r="F25" s="106">
        <f>+'2x2M'!F34</f>
        <v>46186</v>
      </c>
      <c r="G25" s="107">
        <f>+'2x2M'!G34</f>
        <v>0.47083333333333333</v>
      </c>
      <c r="H25" s="108" t="str">
        <f>VLOOKUP(C25,'2x2M'!$B$5:$E$18,4,)</f>
        <v>EFSA</v>
      </c>
      <c r="I25" s="108" t="str">
        <f>VLOOKUP(D25,'2x2M'!$B$5:$E$18,4,)</f>
        <v>JRC</v>
      </c>
      <c r="J25" s="108" t="str">
        <f>VLOOKUP(C25,'2x2M'!B$5:D$18,2,)</f>
        <v>Marchesini Matteo</v>
      </c>
      <c r="K25" s="108" t="str">
        <f>VLOOKUP(C25,'2x2M'!$B$5:$D$18,3,)</f>
        <v>Ackerl Reinhard</v>
      </c>
      <c r="L25" s="108" t="str">
        <f>VLOOKUP(D25,'2x2M'!$B$5:$D$18,2,)</f>
        <v>Fabio</v>
      </c>
      <c r="M25" s="108" t="str">
        <f>VLOOKUP(D25,'2x2M'!$B$5:$D$18,3,)</f>
        <v>Roberto</v>
      </c>
      <c r="N25" s="108"/>
      <c r="O25" s="108"/>
      <c r="P25" s="98"/>
      <c r="Q25" s="98"/>
      <c r="R25" s="98"/>
      <c r="S25" s="98"/>
      <c r="T25" s="98"/>
      <c r="U25" s="98"/>
    </row>
    <row r="26" spans="1:21">
      <c r="A26" s="105" t="str">
        <f>+'2x2M'!A35</f>
        <v>2x2M</v>
      </c>
      <c r="B26" s="105" t="str">
        <f>+'2x2M'!B35</f>
        <v>A</v>
      </c>
      <c r="C26" s="105" t="str">
        <f>+'2x2M'!C35</f>
        <v>Too hot for indoor</v>
      </c>
      <c r="D26" s="105" t="str">
        <f>+'2x2M'!D35</f>
        <v>EFSA 2</v>
      </c>
      <c r="E26" s="105">
        <f>+'2x2M'!E35</f>
        <v>1</v>
      </c>
      <c r="F26" s="106">
        <f>+'2x2M'!F35</f>
        <v>46186</v>
      </c>
      <c r="G26" s="107">
        <f>+'2x2M'!G35</f>
        <v>0.48680555555555555</v>
      </c>
      <c r="H26" s="108" t="str">
        <f>VLOOKUP(C26,'2x2M'!$B$5:$E$18,4,)</f>
        <v>JRC</v>
      </c>
      <c r="I26" s="108" t="str">
        <f>VLOOKUP(D26,'2x2M'!$B$5:$E$18,4,)</f>
        <v>EFSA</v>
      </c>
      <c r="J26" s="108" t="str">
        <f>VLOOKUP(C26,'2x2M'!B$5:D$18,2,)</f>
        <v>Daniele</v>
      </c>
      <c r="K26" s="108" t="str">
        <f>VLOOKUP(C26,'2x2M'!$B$5:$D$18,3,)</f>
        <v>Carlo</v>
      </c>
      <c r="L26" s="108" t="str">
        <f>VLOOKUP(D26,'2x2M'!$B$5:$D$18,2,)</f>
        <v>Ferri Alessandro</v>
      </c>
      <c r="M26" s="108" t="str">
        <f>VLOOKUP(D26,'2x2M'!$B$5:$D$18,3,)</f>
        <v>Marinelli Andrea</v>
      </c>
      <c r="N26" s="108"/>
      <c r="O26" s="108"/>
      <c r="P26" s="98"/>
      <c r="Q26" s="98"/>
      <c r="R26" s="98"/>
      <c r="S26" s="98"/>
      <c r="T26" s="98"/>
      <c r="U26" s="98"/>
    </row>
    <row r="27" spans="1:21">
      <c r="A27" s="105" t="str">
        <f>+'2x2M'!A36</f>
        <v>2x2M</v>
      </c>
      <c r="B27" s="105" t="str">
        <f>+'2x2M'!B36</f>
        <v>B</v>
      </c>
      <c r="C27" s="105" t="str">
        <f>+'2x2M'!C36</f>
        <v>JRC 3</v>
      </c>
      <c r="D27" s="105" t="str">
        <f>+'2x2M'!D36</f>
        <v>Beach control</v>
      </c>
      <c r="E27" s="105">
        <f>+'2x2M'!E36</f>
        <v>2</v>
      </c>
      <c r="F27" s="106">
        <f>+'2x2M'!F36</f>
        <v>46186</v>
      </c>
      <c r="G27" s="107">
        <f>+'2x2M'!G36</f>
        <v>0.48680555555555555</v>
      </c>
      <c r="H27" s="108" t="str">
        <f>VLOOKUP(C27,'2x2M'!$B$5:$E$18,4,)</f>
        <v>JRC</v>
      </c>
      <c r="I27" s="108" t="str">
        <f>VLOOKUP(D27,'2x2M'!$B$5:$E$18,4,)</f>
        <v>EMA</v>
      </c>
      <c r="J27" s="108" t="str">
        <f>VLOOKUP(C27,'2x2M'!B$5:D$18,2,)</f>
        <v>Mauro Gabbarini</v>
      </c>
      <c r="K27" s="108" t="str">
        <f>VLOOKUP(C27,'2x2M'!$B$5:$D$18,3,)</f>
        <v>Tom</v>
      </c>
      <c r="L27" s="108" t="str">
        <f>VLOOKUP(D27,'2x2M'!$B$5:$D$18,2,)</f>
        <v>Evangelos Kotzagiorgis</v>
      </c>
      <c r="M27" s="108" t="str">
        <f>VLOOKUP(D27,'2x2M'!$B$5:$D$18,3,)</f>
        <v>Alex Gentimis</v>
      </c>
      <c r="N27" s="108"/>
      <c r="O27" s="108"/>
      <c r="P27" s="98"/>
      <c r="Q27" s="98"/>
      <c r="R27" s="98"/>
      <c r="S27" s="98"/>
      <c r="T27" s="98"/>
      <c r="U27" s="98"/>
    </row>
    <row r="28" spans="1:21">
      <c r="A28" s="105" t="str">
        <f>+'2x2M'!A37</f>
        <v>2x2M</v>
      </c>
      <c r="B28" s="105" t="str">
        <f>+'2x2M'!B37</f>
        <v>C</v>
      </c>
      <c r="C28" s="105" t="str">
        <f>+'2x2M'!C37</f>
        <v>DP's</v>
      </c>
      <c r="D28" s="105" t="str">
        <f>+'2x2M'!D37</f>
        <v>I transalpini</v>
      </c>
      <c r="E28" s="105">
        <f>+'2x2M'!E37</f>
        <v>1</v>
      </c>
      <c r="F28" s="106">
        <f>+'2x2M'!F37</f>
        <v>46186</v>
      </c>
      <c r="G28" s="107">
        <f>+'2x2M'!G37</f>
        <v>0.50277777777777777</v>
      </c>
      <c r="H28" s="108" t="str">
        <f>VLOOKUP(C28,'2x2M'!$B$5:$E$18,4,)</f>
        <v>FRONTEX</v>
      </c>
      <c r="I28" s="108" t="str">
        <f>VLOOKUP(D28,'2x2M'!$B$5:$E$18,4,)</f>
        <v>EMA</v>
      </c>
      <c r="J28" s="108" t="str">
        <f>VLOOKUP(C28,'2x2M'!B$5:D$18,2,)</f>
        <v>Filipe Paisana</v>
      </c>
      <c r="K28" s="108" t="str">
        <f>VLOOKUP(C28,'2x2M'!$B$5:$D$18,3,)</f>
        <v>Georgios Dimitropoulos</v>
      </c>
      <c r="L28" s="108" t="str">
        <f>VLOOKUP(D28,'2x2M'!$B$5:$D$18,2,)</f>
        <v>Frank Pétavy</v>
      </c>
      <c r="M28" s="108" t="str">
        <f>VLOOKUP(D28,'2x2M'!$B$5:$D$18,3,)</f>
        <v>Thibaut Sauces</v>
      </c>
      <c r="N28" s="108"/>
      <c r="O28" s="108"/>
      <c r="P28" s="98"/>
      <c r="Q28" s="98"/>
      <c r="R28" s="98"/>
      <c r="S28" s="98"/>
      <c r="T28" s="98"/>
      <c r="U28" s="98"/>
    </row>
    <row r="29" spans="1:21">
      <c r="A29" s="105" t="str">
        <f>+'2x2M'!A38</f>
        <v>2x2M</v>
      </c>
      <c r="B29" s="105" t="str">
        <f>+'2x2M'!B38</f>
        <v>D</v>
      </c>
      <c r="C29" s="105" t="str">
        <f>+'2x2M'!C38</f>
        <v>Que farà Farà</v>
      </c>
      <c r="D29" s="105" t="str">
        <f>+'2x2M'!D38</f>
        <v>Dunaj &amp; Wisla</v>
      </c>
      <c r="E29" s="105">
        <f>+'2x2M'!E38</f>
        <v>2</v>
      </c>
      <c r="F29" s="106">
        <f>+'2x2M'!F38</f>
        <v>46186</v>
      </c>
      <c r="G29" s="107">
        <f>+'2x2M'!G38</f>
        <v>0.50277777777777777</v>
      </c>
      <c r="H29" s="108" t="str">
        <f>VLOOKUP(C29,'2x2M'!$B$5:$E$18,4,)</f>
        <v>JRC</v>
      </c>
      <c r="I29" s="108" t="str">
        <f>VLOOKUP(D29,'2x2M'!$B$5:$E$18,4,)</f>
        <v>FRONTEX</v>
      </c>
      <c r="J29" s="108" t="str">
        <f>VLOOKUP(C29,'2x2M'!B$5:D$18,2,)</f>
        <v>Fabio</v>
      </c>
      <c r="K29" s="108" t="str">
        <f>VLOOKUP(C29,'2x2M'!$B$5:$D$18,3,)</f>
        <v>Roberto</v>
      </c>
      <c r="L29" s="108" t="str">
        <f>VLOOKUP(D29,'2x2M'!$B$5:$D$18,2,)</f>
        <v>Radovan Kyselica</v>
      </c>
      <c r="M29" s="108" t="str">
        <f>VLOOKUP(D29,'2x2M'!$B$5:$D$18,3,)</f>
        <v>Dariusz Neuhoff von der Ley</v>
      </c>
      <c r="N29" s="108"/>
      <c r="O29" s="108"/>
      <c r="P29" s="98"/>
      <c r="Q29" s="98"/>
      <c r="R29" s="98"/>
      <c r="S29" s="98"/>
      <c r="T29" s="98"/>
      <c r="U29" s="98"/>
    </row>
    <row r="30" spans="1:21">
      <c r="A30" s="105" t="str">
        <f>+'2x2M'!A39</f>
        <v>2x2M</v>
      </c>
      <c r="B30" s="105" t="str">
        <f>+'2x2M'!B39</f>
        <v>A</v>
      </c>
      <c r="C30" s="105" t="str">
        <f>+'2x2M'!C39</f>
        <v>EFSA 2</v>
      </c>
      <c r="D30" s="105" t="str">
        <f>+'2x2M'!D39</f>
        <v>Valletta's Tritons</v>
      </c>
      <c r="E30" s="105">
        <f>+'2x2M'!E39</f>
        <v>1</v>
      </c>
      <c r="F30" s="106">
        <f>+'2x2M'!F39</f>
        <v>46186</v>
      </c>
      <c r="G30" s="107">
        <f>+'2x2M'!G39</f>
        <v>0.51875000000000004</v>
      </c>
      <c r="H30" s="108" t="str">
        <f>VLOOKUP(C30,'2x2M'!$B$5:$E$18,4,)</f>
        <v>EFSA</v>
      </c>
      <c r="I30" s="108" t="str">
        <f>VLOOKUP(D30,'2x2M'!$B$5:$E$18,4,)</f>
        <v>EUAA</v>
      </c>
      <c r="J30" s="108" t="str">
        <f>VLOOKUP(C30,'2x2M'!B$5:D$18,2,)</f>
        <v>Ferri Alessandro</v>
      </c>
      <c r="K30" s="108" t="str">
        <f>VLOOKUP(C30,'2x2M'!$B$5:$D$18,3,)</f>
        <v>Marinelli Andrea</v>
      </c>
      <c r="L30" s="108" t="str">
        <f>VLOOKUP(D30,'2x2M'!$B$5:$D$18,2,)</f>
        <v>Vasileios</v>
      </c>
      <c r="M30" s="108" t="str">
        <f>VLOOKUP(D30,'2x2M'!$B$5:$D$18,3,)</f>
        <v>Wade</v>
      </c>
      <c r="N30" s="108"/>
      <c r="O30" s="108"/>
      <c r="P30" s="98"/>
      <c r="Q30" s="98"/>
      <c r="R30" s="98"/>
      <c r="S30" s="98"/>
      <c r="T30" s="98"/>
      <c r="U30" s="98"/>
    </row>
    <row r="31" spans="1:21">
      <c r="A31" s="105" t="str">
        <f>+'2x2M'!A40</f>
        <v>2x2M</v>
      </c>
      <c r="B31" s="105" t="str">
        <f>+'2x2M'!B40</f>
        <v>B</v>
      </c>
      <c r="C31" s="105" t="str">
        <f>+'2x2M'!C40</f>
        <v>Europol 2x2 men</v>
      </c>
      <c r="D31" s="105" t="str">
        <f>+'2x2M'!D40</f>
        <v>JRC 3</v>
      </c>
      <c r="E31" s="105">
        <f>+'2x2M'!E40</f>
        <v>2</v>
      </c>
      <c r="F31" s="106">
        <f>+'2x2M'!F40</f>
        <v>46186</v>
      </c>
      <c r="G31" s="107">
        <f>+'2x2M'!G40</f>
        <v>0.51875000000000004</v>
      </c>
      <c r="H31" s="108" t="str">
        <f>VLOOKUP(C31,'2x2M'!$B$5:$E$18,4,)</f>
        <v>EUROPOL</v>
      </c>
      <c r="I31" s="108" t="str">
        <f>VLOOKUP(D31,'2x2M'!$B$5:$E$18,4,)</f>
        <v>JRC</v>
      </c>
      <c r="J31" s="108" t="str">
        <f>VLOOKUP(C31,'2x2M'!B$5:D$18,2,)</f>
        <v>Ciprian Istudor</v>
      </c>
      <c r="K31" s="108" t="str">
        <f>VLOOKUP(C31,'2x2M'!$B$5:$D$18,3,)</f>
        <v>Ionut Sava</v>
      </c>
      <c r="L31" s="108" t="str">
        <f>VLOOKUP(D31,'2x2M'!$B$5:$D$18,2,)</f>
        <v>Mauro Gabbarini</v>
      </c>
      <c r="M31" s="108" t="str">
        <f>VLOOKUP(D31,'2x2M'!$B$5:$D$18,3,)</f>
        <v>Tom</v>
      </c>
      <c r="N31" s="108"/>
      <c r="O31" s="108"/>
      <c r="P31" s="98"/>
      <c r="Q31" s="98"/>
      <c r="R31" s="98"/>
      <c r="S31" s="98"/>
      <c r="T31" s="98"/>
      <c r="U31" s="98"/>
    </row>
    <row r="32" spans="1:21">
      <c r="A32" s="105" t="str">
        <f>+'2x2M'!A41</f>
        <v>2x2M</v>
      </c>
      <c r="B32" s="105" t="str">
        <f>+'2x2M'!B41</f>
        <v>C</v>
      </c>
      <c r="C32" s="105" t="str">
        <f>+'2x2M'!C41</f>
        <v>Bacalhau&amp;porchetta</v>
      </c>
      <c r="D32" s="105" t="str">
        <f>+'2x2M'!D41</f>
        <v>I transalpini</v>
      </c>
      <c r="E32" s="105">
        <f>+'2x2M'!E41</f>
        <v>1</v>
      </c>
      <c r="F32" s="106">
        <f>+'2x2M'!F41</f>
        <v>46186</v>
      </c>
      <c r="G32" s="107">
        <f>+'2x2M'!G41</f>
        <v>0.53472222222222232</v>
      </c>
      <c r="H32" s="108" t="str">
        <f>VLOOKUP(C32,'2x2M'!$B$5:$E$18,4,)</f>
        <v>EUROJUST</v>
      </c>
      <c r="I32" s="108" t="str">
        <f>VLOOKUP(D32,'2x2M'!$B$5:$E$18,4,)</f>
        <v>EMA</v>
      </c>
      <c r="J32" s="108" t="str">
        <f>VLOOKUP(C32,'2x2M'!B$5:D$18,2,)</f>
        <v>Seixas Joao</v>
      </c>
      <c r="K32" s="108" t="str">
        <f>VLOOKUP(C32,'2x2M'!$B$5:$D$18,3,)</f>
        <v xml:space="preserve">Bonato Stefano </v>
      </c>
      <c r="L32" s="108" t="str">
        <f>VLOOKUP(D32,'2x2M'!$B$5:$D$18,2,)</f>
        <v>Frank Pétavy</v>
      </c>
      <c r="M32" s="108" t="str">
        <f>VLOOKUP(D32,'2x2M'!$B$5:$D$18,3,)</f>
        <v>Thibaut Sauces</v>
      </c>
      <c r="N32" s="108"/>
      <c r="O32" s="108"/>
      <c r="P32" s="98"/>
      <c r="Q32" s="98"/>
      <c r="R32" s="98"/>
      <c r="S32" s="98"/>
      <c r="T32" s="98"/>
      <c r="U32" s="98"/>
    </row>
    <row r="33" spans="1:21">
      <c r="A33" s="105" t="str">
        <f>+'2x2M'!A42</f>
        <v>2x2M</v>
      </c>
      <c r="B33" s="105" t="str">
        <f>+'2x2M'!B42</f>
        <v>D</v>
      </c>
      <c r="C33" s="105" t="str">
        <f>+'2x2M'!C42</f>
        <v>EFSA 1</v>
      </c>
      <c r="D33" s="105" t="str">
        <f>+'2x2M'!D42</f>
        <v>Dunaj &amp; Wisla</v>
      </c>
      <c r="E33" s="105">
        <f>+'2x2M'!E42</f>
        <v>2</v>
      </c>
      <c r="F33" s="106">
        <f>+'2x2M'!F42</f>
        <v>46186</v>
      </c>
      <c r="G33" s="107">
        <f>+'2x2M'!G42</f>
        <v>0.53472222222222232</v>
      </c>
      <c r="H33" s="108" t="str">
        <f>VLOOKUP(C33,'2x2M'!$B$5:$E$18,4,)</f>
        <v>EFSA</v>
      </c>
      <c r="I33" s="108" t="str">
        <f>VLOOKUP(D33,'2x2M'!$B$5:$E$18,4,)</f>
        <v>FRONTEX</v>
      </c>
      <c r="J33" s="108" t="str">
        <f>VLOOKUP(C33,'2x2M'!B$5:D$18,2,)</f>
        <v>Marchesini Matteo</v>
      </c>
      <c r="K33" s="108" t="str">
        <f>VLOOKUP(C33,'2x2M'!$B$5:$D$18,3,)</f>
        <v>Ackerl Reinhard</v>
      </c>
      <c r="L33" s="108" t="str">
        <f>VLOOKUP(D33,'2x2M'!$B$5:$D$18,2,)</f>
        <v>Radovan Kyselica</v>
      </c>
      <c r="M33" s="108" t="str">
        <f>VLOOKUP(D33,'2x2M'!$B$5:$D$18,3,)</f>
        <v>Dariusz Neuhoff von der Ley</v>
      </c>
      <c r="N33" s="108"/>
      <c r="O33" s="108"/>
      <c r="P33" s="98"/>
      <c r="Q33" s="98"/>
      <c r="R33" s="98"/>
      <c r="S33" s="98"/>
      <c r="T33" s="98"/>
      <c r="U33" s="98"/>
    </row>
    <row r="34" spans="1:21">
      <c r="A34" s="105" t="str">
        <f>+'2x2M'!A43</f>
        <v>2x2M</v>
      </c>
      <c r="B34" s="105" t="str">
        <f>+'2x2M'!B43</f>
        <v>A</v>
      </c>
      <c r="C34" s="105" t="str">
        <f>+'2x2M'!C43</f>
        <v>Chill-out</v>
      </c>
      <c r="D34" s="105" t="str">
        <f>+'2x2M'!D43</f>
        <v>Valletta's Tritons</v>
      </c>
      <c r="E34" s="105">
        <f>+'2x2M'!E43</f>
        <v>1</v>
      </c>
      <c r="F34" s="106">
        <f>+'2x2M'!F43</f>
        <v>46186</v>
      </c>
      <c r="G34" s="107">
        <f>+'2x2M'!G43</f>
        <v>0.5506944444444446</v>
      </c>
      <c r="H34" s="108" t="str">
        <f>VLOOKUP(C34,'2x2M'!$B$5:$E$18,4,)</f>
        <v>FRONTEX</v>
      </c>
      <c r="I34" s="108" t="str">
        <f>VLOOKUP(D34,'2x2M'!$B$5:$E$18,4,)</f>
        <v>EUAA</v>
      </c>
      <c r="J34" s="108" t="str">
        <f>VLOOKUP(C34,'2x2M'!B$5:D$18,2,)</f>
        <v>Mateusz Rudzik</v>
      </c>
      <c r="K34" s="108" t="str">
        <f>VLOOKUP(C34,'2x2M'!$B$5:$D$18,3,)</f>
        <v>Mariusz Dzierżawski</v>
      </c>
      <c r="L34" s="108" t="str">
        <f>VLOOKUP(D34,'2x2M'!$B$5:$D$18,2,)</f>
        <v>Vasileios</v>
      </c>
      <c r="M34" s="108" t="str">
        <f>VLOOKUP(D34,'2x2M'!$B$5:$D$18,3,)</f>
        <v>Wade</v>
      </c>
      <c r="N34" s="108"/>
      <c r="O34" s="108"/>
      <c r="P34" s="98"/>
      <c r="Q34" s="98"/>
      <c r="R34" s="98"/>
      <c r="S34" s="98"/>
      <c r="T34" s="98"/>
      <c r="U34" s="98"/>
    </row>
    <row r="35" spans="1:21">
      <c r="A35" s="105" t="str">
        <f>+'2x2M'!A44</f>
        <v>2x2M</v>
      </c>
      <c r="B35" s="105" t="str">
        <f>+'2x2M'!B44</f>
        <v>B</v>
      </c>
      <c r="C35" s="105" t="str">
        <f>+'2x2M'!C44</f>
        <v>Ballbreakers</v>
      </c>
      <c r="D35" s="105" t="str">
        <f>+'2x2M'!D44</f>
        <v>Beach control</v>
      </c>
      <c r="E35" s="105">
        <f>+'2x2M'!E44</f>
        <v>2</v>
      </c>
      <c r="F35" s="106">
        <f>+'2x2M'!F44</f>
        <v>46186</v>
      </c>
      <c r="G35" s="107">
        <f>+'2x2M'!G44</f>
        <v>0.5506944444444446</v>
      </c>
      <c r="H35" s="108" t="str">
        <f>VLOOKUP(C35,'2x2M'!$B$5:$E$18,4,)</f>
        <v>FRONTEX</v>
      </c>
      <c r="I35" s="108" t="str">
        <f>VLOOKUP(D35,'2x2M'!$B$5:$E$18,4,)</f>
        <v>EMA</v>
      </c>
      <c r="J35" s="108" t="str">
        <f>VLOOKUP(C35,'2x2M'!B$5:D$18,2,)</f>
        <v>Oliver Bosnar</v>
      </c>
      <c r="K35" s="108" t="str">
        <f>VLOOKUP(C35,'2x2M'!$B$5:$D$18,3,)</f>
        <v>Michal Narojek</v>
      </c>
      <c r="L35" s="108" t="str">
        <f>VLOOKUP(D35,'2x2M'!$B$5:$D$18,2,)</f>
        <v>Evangelos Kotzagiorgis</v>
      </c>
      <c r="M35" s="108" t="str">
        <f>VLOOKUP(D35,'2x2M'!$B$5:$D$18,3,)</f>
        <v>Alex Gentimis</v>
      </c>
      <c r="N35" s="108"/>
      <c r="O35" s="108"/>
      <c r="P35" s="98"/>
      <c r="Q35" s="98"/>
      <c r="R35" s="98"/>
      <c r="S35" s="98"/>
      <c r="T35" s="98"/>
      <c r="U35" s="98"/>
    </row>
    <row r="36" spans="1:21">
      <c r="A36" s="105" t="str">
        <f>+'2x2M'!A45</f>
        <v>2x2M</v>
      </c>
      <c r="B36" s="105" t="str">
        <f>+'2x2M'!B45</f>
        <v>A</v>
      </c>
      <c r="C36" s="105" t="str">
        <f>+'2x2M'!C45</f>
        <v>Too hot for indoor</v>
      </c>
      <c r="D36" s="105" t="str">
        <f>+'2x2M'!D45</f>
        <v>Valletta's Tritons</v>
      </c>
      <c r="E36" s="105">
        <f>+'2x2M'!E45</f>
        <v>1</v>
      </c>
      <c r="F36" s="106">
        <f>+'2x2M'!F45</f>
        <v>46186</v>
      </c>
      <c r="G36" s="107">
        <f>+'2x2M'!G45</f>
        <v>0.56666666666666687</v>
      </c>
      <c r="H36" s="108" t="str">
        <f>VLOOKUP(C36,'2x2M'!$B$5:$E$18,4,)</f>
        <v>JRC</v>
      </c>
      <c r="I36" s="108" t="str">
        <f>VLOOKUP(D36,'2x2M'!$B$5:$E$18,4,)</f>
        <v>EUAA</v>
      </c>
      <c r="J36" s="108" t="str">
        <f>VLOOKUP(C36,'2x2M'!B$5:D$18,2,)</f>
        <v>Daniele</v>
      </c>
      <c r="K36" s="108" t="str">
        <f>VLOOKUP(C36,'2x2M'!$B$5:$D$18,3,)</f>
        <v>Carlo</v>
      </c>
      <c r="L36" s="108" t="str">
        <f>VLOOKUP(D36,'2x2M'!$B$5:$D$18,2,)</f>
        <v>Vasileios</v>
      </c>
      <c r="M36" s="108" t="str">
        <f>VLOOKUP(D36,'2x2M'!$B$5:$D$18,3,)</f>
        <v>Wade</v>
      </c>
      <c r="N36" s="108"/>
      <c r="O36" s="108"/>
      <c r="P36" s="98"/>
      <c r="Q36" s="98"/>
      <c r="R36" s="98"/>
      <c r="S36" s="98"/>
      <c r="T36" s="98"/>
      <c r="U36" s="98"/>
    </row>
    <row r="37" spans="1:21" s="62" customFormat="1">
      <c r="A37" s="105" t="str">
        <f>+'2x2M'!A46</f>
        <v>2x2M</v>
      </c>
      <c r="B37" s="105" t="str">
        <f>+'2x2M'!B46</f>
        <v>B</v>
      </c>
      <c r="C37" s="105" t="str">
        <f>+'2x2M'!C46</f>
        <v>Europol 2x2 men</v>
      </c>
      <c r="D37" s="105" t="str">
        <f>+'2x2M'!D46</f>
        <v>Beach control</v>
      </c>
      <c r="E37" s="105">
        <f>+'2x2M'!E46</f>
        <v>2</v>
      </c>
      <c r="F37" s="106">
        <f>+'2x2M'!F46</f>
        <v>46186</v>
      </c>
      <c r="G37" s="107">
        <f>+'2x2M'!G46</f>
        <v>0.56666666666666687</v>
      </c>
      <c r="H37" s="108" t="str">
        <f>VLOOKUP(C37,'2x2M'!$B$5:$E$18,4,)</f>
        <v>EUROPOL</v>
      </c>
      <c r="I37" s="108" t="str">
        <f>VLOOKUP(D37,'2x2M'!$B$5:$E$18,4,)</f>
        <v>EMA</v>
      </c>
      <c r="J37" s="108" t="str">
        <f>VLOOKUP(C37,'2x2M'!B$5:D$18,2,)</f>
        <v>Ciprian Istudor</v>
      </c>
      <c r="K37" s="108" t="str">
        <f>VLOOKUP(C37,'2x2M'!$B$5:$D$18,3,)</f>
        <v>Ionut Sava</v>
      </c>
      <c r="L37" s="108" t="str">
        <f>VLOOKUP(D37,'2x2M'!$B$5:$D$18,2,)</f>
        <v>Evangelos Kotzagiorgis</v>
      </c>
      <c r="M37" s="108" t="str">
        <f>VLOOKUP(D37,'2x2M'!$B$5:$D$18,3,)</f>
        <v>Alex Gentimis</v>
      </c>
      <c r="N37" s="108"/>
      <c r="O37" s="108"/>
      <c r="P37" s="98"/>
      <c r="Q37" s="98"/>
      <c r="R37" s="98"/>
      <c r="S37" s="98"/>
      <c r="T37" s="98"/>
      <c r="U37" s="98"/>
    </row>
    <row r="38" spans="1:21" s="62" customFormat="1">
      <c r="A38" s="105" t="str">
        <f>+'2x2M'!A47</f>
        <v>2x2M</v>
      </c>
      <c r="B38" s="105" t="str">
        <f>+'2x2M'!B47</f>
        <v>A</v>
      </c>
      <c r="C38" s="105" t="str">
        <f>+'2x2M'!C47</f>
        <v>Chill-out</v>
      </c>
      <c r="D38" s="105" t="str">
        <f>+'2x2M'!D47</f>
        <v>EFSA 2</v>
      </c>
      <c r="E38" s="105">
        <f>+'2x2M'!E47</f>
        <v>1</v>
      </c>
      <c r="F38" s="106">
        <f>+'2x2M'!F47</f>
        <v>46186</v>
      </c>
      <c r="G38" s="107">
        <f>+'2x2M'!G47</f>
        <v>0.58263888888888915</v>
      </c>
      <c r="H38" s="108" t="str">
        <f>VLOOKUP(C38,'2x2M'!$B$5:$E$18,4,)</f>
        <v>FRONTEX</v>
      </c>
      <c r="I38" s="108" t="str">
        <f>VLOOKUP(D38,'2x2M'!$B$5:$E$18,4,)</f>
        <v>EFSA</v>
      </c>
      <c r="J38" s="108" t="str">
        <f>VLOOKUP(C38,'2x2M'!B$5:D$18,2,)</f>
        <v>Mateusz Rudzik</v>
      </c>
      <c r="K38" s="108" t="str">
        <f>VLOOKUP(C38,'2x2M'!$B$5:$D$18,3,)</f>
        <v>Mariusz Dzierżawski</v>
      </c>
      <c r="L38" s="108" t="str">
        <f>VLOOKUP(D38,'2x2M'!$B$5:$D$18,2,)</f>
        <v>Ferri Alessandro</v>
      </c>
      <c r="M38" s="108" t="str">
        <f>VLOOKUP(D38,'2x2M'!$B$5:$D$18,3,)</f>
        <v>Marinelli Andrea</v>
      </c>
      <c r="N38" s="108"/>
      <c r="O38" s="108"/>
      <c r="P38" s="98"/>
      <c r="Q38" s="98"/>
      <c r="R38" s="98"/>
      <c r="S38" s="98"/>
      <c r="T38" s="98"/>
      <c r="U38" s="98"/>
    </row>
    <row r="39" spans="1:21" s="62" customFormat="1">
      <c r="A39" s="105" t="str">
        <f>+'2x2M'!A48</f>
        <v>2x2M</v>
      </c>
      <c r="B39" s="105" t="str">
        <f>+'2x2M'!B48</f>
        <v>B</v>
      </c>
      <c r="C39" s="105" t="str">
        <f>+'2x2M'!C48</f>
        <v>Ballbreakers</v>
      </c>
      <c r="D39" s="105" t="str">
        <f>+'2x2M'!D48</f>
        <v>JRC 3</v>
      </c>
      <c r="E39" s="105">
        <f>+'2x2M'!E48</f>
        <v>2</v>
      </c>
      <c r="F39" s="106">
        <f>+'2x2M'!F48</f>
        <v>46186</v>
      </c>
      <c r="G39" s="107">
        <f>+'2x2M'!G48</f>
        <v>0.58263888888888915</v>
      </c>
      <c r="H39" s="108" t="str">
        <f>VLOOKUP(C39,'2x2M'!$B$5:$E$18,4,)</f>
        <v>FRONTEX</v>
      </c>
      <c r="I39" s="108" t="str">
        <f>VLOOKUP(D39,'2x2M'!$B$5:$E$18,4,)</f>
        <v>JRC</v>
      </c>
      <c r="J39" s="108" t="str">
        <f>VLOOKUP(C39,'2x2M'!B$5:D$18,2,)</f>
        <v>Oliver Bosnar</v>
      </c>
      <c r="K39" s="108" t="str">
        <f>VLOOKUP(C39,'2x2M'!$B$5:$D$18,3,)</f>
        <v>Michal Narojek</v>
      </c>
      <c r="L39" s="108" t="str">
        <f>VLOOKUP(D39,'2x2M'!$B$5:$D$18,2,)</f>
        <v>Mauro Gabbarini</v>
      </c>
      <c r="M39" s="108" t="str">
        <f>VLOOKUP(D39,'2x2M'!$B$5:$D$18,3,)</f>
        <v>Tom</v>
      </c>
      <c r="N39" s="108"/>
      <c r="O39" s="108"/>
      <c r="P39" s="98"/>
      <c r="Q39" s="98"/>
      <c r="R39" s="98"/>
      <c r="S39" s="98"/>
      <c r="T39" s="98"/>
      <c r="U39" s="98"/>
    </row>
    <row r="40" spans="1:21">
      <c r="A40" s="105" t="str">
        <f>+'2x2F'!A28</f>
        <v>2x2F</v>
      </c>
      <c r="B40" s="105" t="str">
        <f>+'2x2F'!B28</f>
        <v>C</v>
      </c>
      <c r="C40" s="105" t="str">
        <f>+'2x2F'!C28</f>
        <v>FedAle</v>
      </c>
      <c r="D40" s="105" t="str">
        <f>+'2x2F'!D28</f>
        <v>Blue Lagoon Spritz</v>
      </c>
      <c r="E40" s="105">
        <f>+'2x2F'!E28</f>
        <v>3</v>
      </c>
      <c r="F40" s="106">
        <f>+'2x2F'!F28</f>
        <v>46186</v>
      </c>
      <c r="G40" s="107">
        <f>+'2x2F'!G28</f>
        <v>0.4548611111111111</v>
      </c>
      <c r="H40" s="108" t="str">
        <f>VLOOKUP(C40,'2x2F'!$B$5:$E$15,4,)</f>
        <v>FRONTEX</v>
      </c>
      <c r="I40" s="108" t="str">
        <f>VLOOKUP(D40,'2x2F'!$B$5:$E$15,4,)</f>
        <v>EUAA</v>
      </c>
      <c r="J40" s="108" t="str">
        <f>VLOOKUP(C40,'2x2F'!$B$5:$D$15,2,)</f>
        <v>Aleksandra Wajda</v>
      </c>
      <c r="K40" s="108" t="str">
        <f>VLOOKUP(C40,'2x2F'!$B$5:$D$15,3,)</f>
        <v>Federica Ferrari</v>
      </c>
      <c r="L40" s="108" t="str">
        <f>VLOOKUP(D40,'2x2F'!$B$5:$D$15,2,)</f>
        <v>Claudia</v>
      </c>
      <c r="M40" s="108" t="str">
        <f>VLOOKUP(D40,'2x2F'!$B$5:$D$15,3,)</f>
        <v>Tania</v>
      </c>
      <c r="N40" s="108"/>
      <c r="O40" s="108"/>
      <c r="P40" s="98"/>
      <c r="Q40" s="98"/>
      <c r="R40" s="98"/>
      <c r="S40" s="98"/>
      <c r="T40" s="98"/>
      <c r="U40" s="98"/>
    </row>
    <row r="41" spans="1:21">
      <c r="A41" s="105" t="str">
        <f>+'2x2F'!A29</f>
        <v>2x2F</v>
      </c>
      <c r="B41" s="105" t="str">
        <f>+'2x2F'!B29</f>
        <v>B</v>
      </c>
      <c r="C41" s="105" t="str">
        <f>+'2x2F'!C29</f>
        <v>MURO !</v>
      </c>
      <c r="D41" s="105" t="str">
        <f>+'2x2F'!D29</f>
        <v>EFSA 7</v>
      </c>
      <c r="E41" s="105">
        <f>+'2x2F'!E29</f>
        <v>4</v>
      </c>
      <c r="F41" s="106">
        <f>+'2x2F'!F29</f>
        <v>46186</v>
      </c>
      <c r="G41" s="107">
        <f>+'2x2F'!G29</f>
        <v>0.4548611111111111</v>
      </c>
      <c r="H41" s="108" t="str">
        <f>VLOOKUP(C41,'2x2F'!$B$5:$E$15,4,)</f>
        <v>FRONTEX</v>
      </c>
      <c r="I41" s="108" t="str">
        <f>VLOOKUP(D41,'2x2F'!$B$5:$E$15,4,)</f>
        <v>EFSA</v>
      </c>
      <c r="J41" s="108" t="str">
        <f>VLOOKUP(C41,'2x2F'!$B$5:$D$15,2,)</f>
        <v>Natalia Alberska</v>
      </c>
      <c r="K41" s="108" t="str">
        <f>VLOOKUP(C41,'2x2F'!$B$5:$D$15,3,)</f>
        <v>Anna Jaroszuk</v>
      </c>
      <c r="L41" s="108" t="str">
        <f>VLOOKUP(D41,'2x2F'!$B$5:$D$15,2,)</f>
        <v>Kralova Irena</v>
      </c>
      <c r="M41" s="108" t="str">
        <f>VLOOKUP(D41,'2x2F'!$B$5:$D$15,3,)</f>
        <v>Pecoraro Simona</v>
      </c>
      <c r="N41" s="108"/>
      <c r="O41" s="108"/>
      <c r="P41" s="98"/>
      <c r="Q41" s="98"/>
      <c r="R41" s="98"/>
      <c r="S41" s="98"/>
      <c r="T41" s="98"/>
      <c r="U41" s="98"/>
    </row>
    <row r="42" spans="1:21" ht="15.75" customHeight="1">
      <c r="A42" s="105" t="str">
        <f>+'2x2F'!A30</f>
        <v>2x2F</v>
      </c>
      <c r="B42" s="105" t="str">
        <f>+'2x2F'!B30</f>
        <v>A</v>
      </c>
      <c r="C42" s="105" t="str">
        <f>+'2x2F'!C30</f>
        <v>ITAegean</v>
      </c>
      <c r="D42" s="105" t="str">
        <f>+'2x2F'!D30</f>
        <v xml:space="preserve">Nanook </v>
      </c>
      <c r="E42" s="105">
        <f>+'2x2F'!E30</f>
        <v>3</v>
      </c>
      <c r="F42" s="106">
        <f>+'2x2F'!F30</f>
        <v>46186</v>
      </c>
      <c r="G42" s="107">
        <f>+'2x2F'!G30</f>
        <v>0.47083333333333333</v>
      </c>
      <c r="H42" s="108" t="str">
        <f>VLOOKUP(C42,'2x2F'!$B$5:$E$15,4,)</f>
        <v>FRONTEX</v>
      </c>
      <c r="I42" s="108" t="str">
        <f>VLOOKUP(D42,'2x2F'!$B$5:$E$15,4,)</f>
        <v>EUROJUST</v>
      </c>
      <c r="J42" s="108" t="str">
        <f>VLOOKUP(C42,'2x2F'!$B$5:$D$15,2,)</f>
        <v>Evgenia Kalogeropoulou</v>
      </c>
      <c r="K42" s="108" t="str">
        <f>VLOOKUP(C42,'2x2F'!$B$5:$D$15,3,)</f>
        <v>Anna Sofia Messeri</v>
      </c>
      <c r="L42" s="108" t="str">
        <f>VLOOKUP(D42,'2x2F'!$B$5:$D$15,2,)</f>
        <v>Conti Lucia</v>
      </c>
      <c r="M42" s="108" t="str">
        <f>VLOOKUP(D42,'2x2F'!$B$5:$D$15,3,)</f>
        <v>Klayn Aglika</v>
      </c>
      <c r="N42" s="108"/>
      <c r="O42" s="108"/>
      <c r="P42" s="98"/>
      <c r="Q42" s="98"/>
      <c r="R42" s="98"/>
      <c r="S42" s="98"/>
      <c r="T42" s="98"/>
      <c r="U42" s="98"/>
    </row>
    <row r="43" spans="1:21" ht="15.75" customHeight="1">
      <c r="A43" s="105" t="str">
        <f>+'2x2F'!A31</f>
        <v>2x2F</v>
      </c>
      <c r="B43" s="105" t="str">
        <f>+'2x2F'!B31</f>
        <v>A</v>
      </c>
      <c r="C43" s="105" t="str">
        <f>+'2x2F'!C31</f>
        <v>Pastizzi Patrol</v>
      </c>
      <c r="D43" s="105" t="str">
        <f>+'2x2F'!D31</f>
        <v>Disaqueens</v>
      </c>
      <c r="E43" s="105">
        <f>+'2x2F'!E31</f>
        <v>4</v>
      </c>
      <c r="F43" s="106">
        <f>+'2x2F'!F31</f>
        <v>46186</v>
      </c>
      <c r="G43" s="107">
        <f>+'2x2F'!G31</f>
        <v>0.47083333333333333</v>
      </c>
      <c r="H43" s="108" t="str">
        <f>VLOOKUP(C43,'2x2F'!$B$5:$E$15,4,)</f>
        <v>EUAA</v>
      </c>
      <c r="I43" s="108" t="str">
        <f>VLOOKUP(D43,'2x2F'!$B$5:$E$15,4,)</f>
        <v>JRC</v>
      </c>
      <c r="J43" s="108" t="str">
        <f>VLOOKUP(C43,'2x2F'!$B$5:$D$15,2,)</f>
        <v>Daniela</v>
      </c>
      <c r="K43" s="108" t="str">
        <f>VLOOKUP(C43,'2x2F'!$B$5:$D$15,3,)</f>
        <v>Raquel</v>
      </c>
      <c r="L43" s="108" t="str">
        <f>VLOOKUP(D43,'2x2F'!$B$5:$D$15,2,)</f>
        <v>Boba</v>
      </c>
      <c r="M43" s="108" t="str">
        <f>VLOOKUP(D43,'2x2F'!$B$5:$D$15,3,)</f>
        <v>Federica R.</v>
      </c>
      <c r="N43" s="108"/>
      <c r="O43" s="108"/>
      <c r="P43" s="98"/>
      <c r="Q43" s="98"/>
      <c r="R43" s="98"/>
      <c r="S43" s="98"/>
      <c r="T43" s="98"/>
      <c r="U43" s="98"/>
    </row>
    <row r="44" spans="1:21" ht="15.75" customHeight="1">
      <c r="A44" s="105" t="str">
        <f>+'2x2F'!A32</f>
        <v>2x2F</v>
      </c>
      <c r="B44" s="105" t="str">
        <f>+'2x2F'!B32</f>
        <v>B</v>
      </c>
      <c r="C44" s="105" t="str">
        <f>+'2x2F'!C32</f>
        <v>Barrakka Gardeners</v>
      </c>
      <c r="D44" s="105" t="str">
        <f>+'2x2F'!D32</f>
        <v>JRC 12</v>
      </c>
      <c r="E44" s="105">
        <f>+'2x2F'!E32</f>
        <v>3</v>
      </c>
      <c r="F44" s="106">
        <f>+'2x2F'!F32</f>
        <v>46186</v>
      </c>
      <c r="G44" s="107">
        <f>+'2x2F'!G32</f>
        <v>0.48680555555555555</v>
      </c>
      <c r="H44" s="108" t="str">
        <f>VLOOKUP(C44,'2x2F'!$B$5:$E$15,4,)</f>
        <v>EUAA</v>
      </c>
      <c r="I44" s="108" t="str">
        <f>VLOOKUP(D44,'2x2F'!$B$5:$E$15,4,)</f>
        <v>JRC</v>
      </c>
      <c r="J44" s="108" t="str">
        <f>VLOOKUP(C44,'2x2F'!$B$5:$D$15,2,)</f>
        <v>Filothei</v>
      </c>
      <c r="K44" s="108" t="str">
        <f>VLOOKUP(C44,'2x2F'!$B$5:$D$15,3,)</f>
        <v>Maria</v>
      </c>
      <c r="L44" s="108" t="str">
        <f>VLOOKUP(D44,'2x2F'!$B$5:$D$15,2,)</f>
        <v>Elisa B.</v>
      </c>
      <c r="M44" s="108" t="str">
        <f>VLOOKUP(D44,'2x2F'!$B$5:$D$15,3,)</f>
        <v>Ilaria</v>
      </c>
      <c r="N44" s="108"/>
      <c r="O44" s="108"/>
      <c r="P44" s="98"/>
      <c r="Q44" s="98"/>
      <c r="R44" s="98"/>
      <c r="S44" s="98"/>
      <c r="T44" s="98"/>
      <c r="U44" s="98"/>
    </row>
    <row r="45" spans="1:21" ht="15.75" customHeight="1">
      <c r="A45" s="105" t="str">
        <f>+'2x2F'!A33</f>
        <v>2x2F</v>
      </c>
      <c r="B45" s="105" t="str">
        <f>+'2x2F'!B33</f>
        <v>C</v>
      </c>
      <c r="C45" s="105" t="str">
        <f>+'2x2F'!C33</f>
        <v>FedAle</v>
      </c>
      <c r="D45" s="105" t="str">
        <f>+'2x2F'!D33</f>
        <v>EUROPOL F</v>
      </c>
      <c r="E45" s="105">
        <f>+'2x2F'!E33</f>
        <v>4</v>
      </c>
      <c r="F45" s="106">
        <f>+'2x2F'!F33</f>
        <v>46186</v>
      </c>
      <c r="G45" s="107">
        <f>+'2x2F'!G33</f>
        <v>0.48680555555555555</v>
      </c>
      <c r="H45" s="108" t="str">
        <f>VLOOKUP(C45,'2x2F'!$B$5:$E$15,4,)</f>
        <v>FRONTEX</v>
      </c>
      <c r="I45" s="108" t="str">
        <f>VLOOKUP(D45,'2x2F'!$B$5:$E$15,4,)</f>
        <v>EUROPOL</v>
      </c>
      <c r="J45" s="108" t="str">
        <f>VLOOKUP(C45,'2x2F'!$B$5:$D$15,2,)</f>
        <v>Aleksandra Wajda</v>
      </c>
      <c r="K45" s="108" t="str">
        <f>VLOOKUP(C45,'2x2F'!$B$5:$D$15,3,)</f>
        <v>Federica Ferrari</v>
      </c>
      <c r="L45" s="108" t="str">
        <f>VLOOKUP(D45,'2x2F'!$B$5:$D$15,2,)</f>
        <v>Stanciu Anca</v>
      </c>
      <c r="M45" s="108" t="str">
        <f>VLOOKUP(D45,'2x2F'!$B$5:$D$15,3,)</f>
        <v>Rausch Laura</v>
      </c>
      <c r="N45" s="108"/>
      <c r="O45" s="108"/>
      <c r="P45" s="98"/>
      <c r="Q45" s="98"/>
      <c r="R45" s="98"/>
      <c r="S45" s="98"/>
      <c r="T45" s="98"/>
      <c r="U45" s="98"/>
    </row>
    <row r="46" spans="1:21" ht="15.75" customHeight="1">
      <c r="A46" s="105" t="str">
        <f>+'2x2F'!A34</f>
        <v>2x2F</v>
      </c>
      <c r="B46" s="105" t="str">
        <f>+'2x2F'!B34</f>
        <v>A</v>
      </c>
      <c r="C46" s="105" t="str">
        <f>+'2x2F'!C34</f>
        <v>ITAegean</v>
      </c>
      <c r="D46" s="105" t="str">
        <f>+'2x2F'!D34</f>
        <v>Pastizzi Patrol</v>
      </c>
      <c r="E46" s="105">
        <f>+'2x2F'!E34</f>
        <v>3</v>
      </c>
      <c r="F46" s="106">
        <f>+'2x2F'!F34</f>
        <v>46186</v>
      </c>
      <c r="G46" s="107">
        <f>+'2x2F'!G34</f>
        <v>0.50277777777777777</v>
      </c>
      <c r="H46" s="108" t="str">
        <f>VLOOKUP(C46,'2x2F'!$B$5:$E$15,4,)</f>
        <v>FRONTEX</v>
      </c>
      <c r="I46" s="108" t="str">
        <f>VLOOKUP(D46,'2x2F'!$B$5:$E$15,4,)</f>
        <v>EUAA</v>
      </c>
      <c r="J46" s="108" t="str">
        <f>VLOOKUP(C46,'2x2F'!$B$5:$D$15,2,)</f>
        <v>Evgenia Kalogeropoulou</v>
      </c>
      <c r="K46" s="108" t="str">
        <f>VLOOKUP(C46,'2x2F'!$B$5:$D$15,3,)</f>
        <v>Anna Sofia Messeri</v>
      </c>
      <c r="L46" s="108" t="str">
        <f>VLOOKUP(D46,'2x2F'!$B$5:$D$15,2,)</f>
        <v>Daniela</v>
      </c>
      <c r="M46" s="108" t="str">
        <f>VLOOKUP(D46,'2x2F'!$B$5:$D$15,3,)</f>
        <v>Raquel</v>
      </c>
      <c r="N46" s="108"/>
      <c r="O46" s="108"/>
      <c r="P46" s="98"/>
      <c r="Q46" s="98"/>
      <c r="R46" s="98"/>
      <c r="S46" s="98"/>
      <c r="T46" s="98"/>
      <c r="U46" s="98"/>
    </row>
    <row r="47" spans="1:21" ht="15.75" customHeight="1">
      <c r="A47" s="105" t="str">
        <f>+'2x2F'!A35</f>
        <v>2x2F</v>
      </c>
      <c r="B47" s="105" t="str">
        <f>+'2x2F'!B35</f>
        <v>B</v>
      </c>
      <c r="C47" s="105" t="str">
        <f>+'2x2F'!C35</f>
        <v>MURO !</v>
      </c>
      <c r="D47" s="105" t="str">
        <f>+'2x2F'!D35</f>
        <v>Barrakka Gardeners</v>
      </c>
      <c r="E47" s="105">
        <f>+'2x2F'!E35</f>
        <v>4</v>
      </c>
      <c r="F47" s="106">
        <f>+'2x2F'!F35</f>
        <v>46186</v>
      </c>
      <c r="G47" s="107">
        <f>+'2x2F'!G35</f>
        <v>0.50277777777777777</v>
      </c>
      <c r="H47" s="108" t="str">
        <f>VLOOKUP(C47,'2x2F'!$B$5:$E$15,4,)</f>
        <v>FRONTEX</v>
      </c>
      <c r="I47" s="108" t="str">
        <f>VLOOKUP(D47,'2x2F'!$B$5:$E$15,4,)</f>
        <v>EUAA</v>
      </c>
      <c r="J47" s="108" t="str">
        <f>VLOOKUP(C47,'2x2F'!$B$5:$D$15,2,)</f>
        <v>Natalia Alberska</v>
      </c>
      <c r="K47" s="108" t="str">
        <f>VLOOKUP(C47,'2x2F'!$B$5:$D$15,3,)</f>
        <v>Anna Jaroszuk</v>
      </c>
      <c r="L47" s="108" t="str">
        <f>VLOOKUP(D47,'2x2F'!$B$5:$D$15,2,)</f>
        <v>Filothei</v>
      </c>
      <c r="M47" s="108" t="str">
        <f>VLOOKUP(D47,'2x2F'!$B$5:$D$15,3,)</f>
        <v>Maria</v>
      </c>
      <c r="N47" s="108"/>
      <c r="O47" s="108"/>
      <c r="P47" s="98"/>
      <c r="Q47" s="98"/>
      <c r="R47" s="98"/>
      <c r="S47" s="98"/>
      <c r="T47" s="98"/>
      <c r="U47" s="98"/>
    </row>
    <row r="48" spans="1:21" ht="15.75" customHeight="1">
      <c r="A48" s="105" t="str">
        <f>+'2x2F'!A36</f>
        <v>2x2F</v>
      </c>
      <c r="B48" s="105" t="str">
        <f>+'2x2F'!B36</f>
        <v>A</v>
      </c>
      <c r="C48" s="105" t="str">
        <f>+'2x2F'!C36</f>
        <v xml:space="preserve">Nanook </v>
      </c>
      <c r="D48" s="105" t="str">
        <f>+'2x2F'!D36</f>
        <v>Disaqueens</v>
      </c>
      <c r="E48" s="105">
        <f>+'2x2F'!E36</f>
        <v>3</v>
      </c>
      <c r="F48" s="106">
        <f>+'2x2F'!F36</f>
        <v>46186</v>
      </c>
      <c r="G48" s="107">
        <f>+'2x2F'!G36</f>
        <v>0.51875000000000004</v>
      </c>
      <c r="H48" s="108" t="str">
        <f>VLOOKUP(C48,'2x2F'!$B$5:$E$15,4,)</f>
        <v>EUROJUST</v>
      </c>
      <c r="I48" s="108" t="str">
        <f>VLOOKUP(D48,'2x2F'!$B$5:$E$15,4,)</f>
        <v>JRC</v>
      </c>
      <c r="J48" s="108" t="str">
        <f>VLOOKUP(C48,'2x2F'!$B$5:$D$15,2,)</f>
        <v>Conti Lucia</v>
      </c>
      <c r="K48" s="108" t="str">
        <f>VLOOKUP(C48,'2x2F'!$B$5:$D$15,3,)</f>
        <v>Klayn Aglika</v>
      </c>
      <c r="L48" s="108" t="str">
        <f>VLOOKUP(D48,'2x2F'!$B$5:$D$15,2,)</f>
        <v>Boba</v>
      </c>
      <c r="M48" s="108" t="str">
        <f>VLOOKUP(D48,'2x2F'!$B$5:$D$15,3,)</f>
        <v>Federica R.</v>
      </c>
      <c r="N48" s="108"/>
      <c r="O48" s="108"/>
      <c r="P48" s="98"/>
      <c r="Q48" s="98"/>
      <c r="R48" s="98"/>
      <c r="S48" s="98"/>
      <c r="T48" s="98"/>
      <c r="U48" s="98"/>
    </row>
    <row r="49" spans="1:21" ht="15.75" customHeight="1">
      <c r="A49" s="105" t="str">
        <f>+'2x2F'!A37</f>
        <v>2x2F</v>
      </c>
      <c r="B49" s="105" t="str">
        <f>+'2x2F'!B37</f>
        <v>C</v>
      </c>
      <c r="C49" s="105" t="str">
        <f>+'2x2F'!C37</f>
        <v>Blue Lagoon Spritz</v>
      </c>
      <c r="D49" s="105" t="str">
        <f>+'2x2F'!D37</f>
        <v>EUROPOL F</v>
      </c>
      <c r="E49" s="105">
        <f>+'2x2F'!E37</f>
        <v>4</v>
      </c>
      <c r="F49" s="106">
        <f>+'2x2F'!F37</f>
        <v>46186</v>
      </c>
      <c r="G49" s="107">
        <f>+'2x2F'!G37</f>
        <v>0.51875000000000004</v>
      </c>
      <c r="H49" s="108" t="str">
        <f>VLOOKUP(C49,'2x2F'!$B$5:$E$15,4,)</f>
        <v>EUAA</v>
      </c>
      <c r="I49" s="108" t="str">
        <f>VLOOKUP(D49,'2x2F'!$B$5:$E$15,4,)</f>
        <v>EUROPOL</v>
      </c>
      <c r="J49" s="108" t="str">
        <f>VLOOKUP(C49,'2x2F'!$B$5:$D$15,2,)</f>
        <v>Claudia</v>
      </c>
      <c r="K49" s="108" t="str">
        <f>VLOOKUP(C49,'2x2F'!$B$5:$D$15,3,)</f>
        <v>Tania</v>
      </c>
      <c r="L49" s="108" t="str">
        <f>VLOOKUP(D49,'2x2F'!$B$5:$D$15,2,)</f>
        <v>Stanciu Anca</v>
      </c>
      <c r="M49" s="108" t="str">
        <f>VLOOKUP(D49,'2x2F'!$B$5:$D$15,3,)</f>
        <v>Rausch Laura</v>
      </c>
      <c r="N49" s="108"/>
      <c r="O49" s="108"/>
      <c r="P49" s="98"/>
      <c r="Q49" s="98"/>
      <c r="R49" s="98"/>
      <c r="S49" s="98"/>
      <c r="T49" s="98"/>
      <c r="U49" s="98"/>
    </row>
    <row r="50" spans="1:21" ht="15.75" customHeight="1">
      <c r="A50" s="105" t="str">
        <f>+'2x2F'!A38</f>
        <v>2x2F</v>
      </c>
      <c r="B50" s="105" t="str">
        <f>+'2x2F'!B38</f>
        <v>B</v>
      </c>
      <c r="C50" s="105" t="str">
        <f>+'2x2F'!C38</f>
        <v>EFSA 7</v>
      </c>
      <c r="D50" s="105" t="str">
        <f>+'2x2F'!D38</f>
        <v>Barrakka Gardeners</v>
      </c>
      <c r="E50" s="105">
        <f>+'2x2F'!E38</f>
        <v>3</v>
      </c>
      <c r="F50" s="106">
        <f>+'2x2F'!F38</f>
        <v>46186</v>
      </c>
      <c r="G50" s="107">
        <f>+'2x2F'!G38</f>
        <v>0.53472222222222232</v>
      </c>
      <c r="H50" s="108" t="str">
        <f>VLOOKUP(C50,'2x2F'!$B$5:$E$15,4,)</f>
        <v>EFSA</v>
      </c>
      <c r="I50" s="108" t="str">
        <f>VLOOKUP(D50,'2x2F'!$B$5:$E$15,4,)</f>
        <v>EUAA</v>
      </c>
      <c r="J50" s="108" t="str">
        <f>VLOOKUP(C50,'2x2F'!$B$5:$D$15,2,)</f>
        <v>Kralova Irena</v>
      </c>
      <c r="K50" s="108" t="str">
        <f>VLOOKUP(C50,'2x2F'!$B$5:$D$15,3,)</f>
        <v>Pecoraro Simona</v>
      </c>
      <c r="L50" s="108" t="str">
        <f>VLOOKUP(D50,'2x2F'!$B$5:$D$15,2,)</f>
        <v>Filothei</v>
      </c>
      <c r="M50" s="108" t="str">
        <f>VLOOKUP(D50,'2x2F'!$B$5:$D$15,3,)</f>
        <v>Maria</v>
      </c>
      <c r="N50" s="108"/>
      <c r="O50" s="108"/>
      <c r="P50" s="98"/>
      <c r="Q50" s="98"/>
      <c r="R50" s="98"/>
      <c r="S50" s="98"/>
      <c r="T50" s="98"/>
      <c r="U50" s="98"/>
    </row>
    <row r="51" spans="1:21" ht="15.75" customHeight="1">
      <c r="A51" s="105" t="str">
        <f>+'2x2F'!A39</f>
        <v>2x2F</v>
      </c>
      <c r="B51" s="105" t="str">
        <f>+'2x2F'!B39</f>
        <v>A</v>
      </c>
      <c r="C51" s="105" t="str">
        <f>+'2x2F'!C39</f>
        <v>ITAegean</v>
      </c>
      <c r="D51" s="105" t="str">
        <f>+'2x2F'!D39</f>
        <v>Disaqueens</v>
      </c>
      <c r="E51" s="105">
        <f>+'2x2F'!E39</f>
        <v>4</v>
      </c>
      <c r="F51" s="106">
        <f>+'2x2F'!F39</f>
        <v>46186</v>
      </c>
      <c r="G51" s="107">
        <f>+'2x2F'!G39</f>
        <v>0.53472222222222232</v>
      </c>
      <c r="H51" s="108" t="str">
        <f>VLOOKUP(C51,'2x2F'!$B$5:$E$15,4,)</f>
        <v>FRONTEX</v>
      </c>
      <c r="I51" s="108" t="str">
        <f>VLOOKUP(D51,'2x2F'!$B$5:$E$15,4,)</f>
        <v>JRC</v>
      </c>
      <c r="J51" s="108" t="str">
        <f>VLOOKUP(C51,'2x2F'!$B$5:$D$15,2,)</f>
        <v>Evgenia Kalogeropoulou</v>
      </c>
      <c r="K51" s="108" t="str">
        <f>VLOOKUP(C51,'2x2F'!$B$5:$D$15,3,)</f>
        <v>Anna Sofia Messeri</v>
      </c>
      <c r="L51" s="108" t="str">
        <f>VLOOKUP(D51,'2x2F'!$B$5:$D$15,2,)</f>
        <v>Boba</v>
      </c>
      <c r="M51" s="108" t="str">
        <f>VLOOKUP(D51,'2x2F'!$B$5:$D$15,3,)</f>
        <v>Federica R.</v>
      </c>
      <c r="N51" s="108"/>
      <c r="O51" s="108"/>
      <c r="P51" s="98"/>
      <c r="Q51" s="98"/>
      <c r="R51" s="98"/>
      <c r="S51" s="98"/>
      <c r="T51" s="98"/>
      <c r="U51" s="98"/>
    </row>
    <row r="52" spans="1:21" ht="15.75" customHeight="1">
      <c r="A52" s="105" t="str">
        <f>+'2x2F'!A40</f>
        <v>2x2F</v>
      </c>
      <c r="B52" s="105" t="str">
        <f>+'2x2F'!B40</f>
        <v>B</v>
      </c>
      <c r="C52" s="105" t="str">
        <f>+'2x2F'!C40</f>
        <v>MURO !</v>
      </c>
      <c r="D52" s="105" t="str">
        <f>+'2x2F'!D40</f>
        <v>JRC 12</v>
      </c>
      <c r="E52" s="105">
        <f>+'2x2F'!E40</f>
        <v>3</v>
      </c>
      <c r="F52" s="106">
        <f>+'2x2F'!F40</f>
        <v>46186</v>
      </c>
      <c r="G52" s="107">
        <f>+'2x2F'!G40</f>
        <v>0.5506944444444446</v>
      </c>
      <c r="H52" s="108" t="str">
        <f>VLOOKUP(C52,'2x2F'!$B$5:$E$15,4,)</f>
        <v>FRONTEX</v>
      </c>
      <c r="I52" s="108" t="str">
        <f>VLOOKUP(D52,'2x2F'!$B$5:$E$15,4,)</f>
        <v>JRC</v>
      </c>
      <c r="J52" s="108" t="str">
        <f>VLOOKUP(C52,'2x2F'!$B$5:$D$15,2,)</f>
        <v>Natalia Alberska</v>
      </c>
      <c r="K52" s="108" t="str">
        <f>VLOOKUP(C52,'2x2F'!$B$5:$D$15,3,)</f>
        <v>Anna Jaroszuk</v>
      </c>
      <c r="L52" s="108" t="str">
        <f>VLOOKUP(D52,'2x2F'!$B$5:$D$15,2,)</f>
        <v>Elisa B.</v>
      </c>
      <c r="M52" s="108" t="str">
        <f>VLOOKUP(D52,'2x2F'!$B$5:$D$15,3,)</f>
        <v>Ilaria</v>
      </c>
      <c r="N52" s="108"/>
      <c r="O52" s="108"/>
      <c r="P52" s="98"/>
      <c r="Q52" s="98"/>
      <c r="R52" s="98"/>
      <c r="S52" s="98"/>
      <c r="T52" s="98"/>
      <c r="U52" s="98"/>
    </row>
    <row r="53" spans="1:21" ht="15.75" customHeight="1">
      <c r="A53" s="105" t="str">
        <f>+'2x2F'!A41</f>
        <v>2x2F</v>
      </c>
      <c r="B53" s="105" t="str">
        <f>+'2x2F'!B41</f>
        <v>A</v>
      </c>
      <c r="C53" s="105" t="str">
        <f>+'2x2F'!C41</f>
        <v xml:space="preserve">Nanook </v>
      </c>
      <c r="D53" s="105" t="str">
        <f>+'2x2F'!D41</f>
        <v>Pastizzi Patrol</v>
      </c>
      <c r="E53" s="105">
        <f>+'2x2F'!E41</f>
        <v>4</v>
      </c>
      <c r="F53" s="106">
        <f>+'2x2F'!F41</f>
        <v>46186</v>
      </c>
      <c r="G53" s="107">
        <f>+'2x2F'!G41</f>
        <v>0.5506944444444446</v>
      </c>
      <c r="H53" s="108" t="str">
        <f>VLOOKUP(C53,'2x2F'!$B$5:$E$15,4,)</f>
        <v>EUROJUST</v>
      </c>
      <c r="I53" s="108" t="str">
        <f>VLOOKUP(D53,'2x2F'!$B$5:$E$15,4,)</f>
        <v>EUAA</v>
      </c>
      <c r="J53" s="108" t="str">
        <f>VLOOKUP(C53,'2x2F'!$B$5:$D$15,2,)</f>
        <v>Conti Lucia</v>
      </c>
      <c r="K53" s="108" t="str">
        <f>VLOOKUP(C53,'2x2F'!$B$5:$D$15,3,)</f>
        <v>Klayn Aglika</v>
      </c>
      <c r="L53" s="108" t="str">
        <f>VLOOKUP(D53,'2x2F'!$B$5:$D$15,2,)</f>
        <v>Daniela</v>
      </c>
      <c r="M53" s="108" t="str">
        <f>VLOOKUP(D53,'2x2F'!$B$5:$D$15,3,)</f>
        <v>Raquel</v>
      </c>
      <c r="N53" s="108"/>
      <c r="O53" s="108"/>
      <c r="P53" s="98"/>
      <c r="Q53" s="98"/>
      <c r="R53" s="98"/>
      <c r="S53" s="98"/>
      <c r="T53" s="98"/>
      <c r="U53" s="98"/>
    </row>
    <row r="54" spans="1:21" ht="15.75" customHeight="1">
      <c r="A54" s="105" t="str">
        <f>+'2x2F'!A42</f>
        <v>2x2F</v>
      </c>
      <c r="B54" s="105" t="str">
        <f>+'2x2F'!B42</f>
        <v>B</v>
      </c>
      <c r="C54" s="105" t="str">
        <f>+'2x2F'!C42</f>
        <v>EFSA 7</v>
      </c>
      <c r="D54" s="105" t="str">
        <f>+'2x2F'!D42</f>
        <v>JRC 12</v>
      </c>
      <c r="E54" s="105">
        <f>+'2x2F'!E42</f>
        <v>3</v>
      </c>
      <c r="F54" s="106">
        <f>+'2x2F'!F42</f>
        <v>46186</v>
      </c>
      <c r="G54" s="107">
        <f>+'2x2F'!G42</f>
        <v>0.56666666666666687</v>
      </c>
      <c r="H54" s="108" t="str">
        <f>VLOOKUP(C54,'2x2F'!$B$5:$E$15,4,)</f>
        <v>EFSA</v>
      </c>
      <c r="I54" s="108" t="str">
        <f>VLOOKUP(D54,'2x2F'!$B$5:$E$15,4,)</f>
        <v>JRC</v>
      </c>
      <c r="J54" s="108" t="str">
        <f>VLOOKUP(C54,'2x2F'!$B$5:$D$15,2,)</f>
        <v>Kralova Irena</v>
      </c>
      <c r="K54" s="108" t="str">
        <f>VLOOKUP(C54,'2x2F'!$B$5:$D$15,3,)</f>
        <v>Pecoraro Simona</v>
      </c>
      <c r="L54" s="108" t="str">
        <f>VLOOKUP(D54,'2x2F'!$B$5:$D$15,2,)</f>
        <v>Elisa B.</v>
      </c>
      <c r="M54" s="108" t="str">
        <f>VLOOKUP(D54,'2x2F'!$B$5:$D$15,3,)</f>
        <v>Ilaria</v>
      </c>
      <c r="N54" s="108"/>
      <c r="O54" s="108"/>
      <c r="P54" s="98"/>
      <c r="Q54" s="98"/>
      <c r="R54" s="98"/>
      <c r="S54" s="98"/>
      <c r="T54" s="98"/>
      <c r="U54" s="98"/>
    </row>
    <row r="55" spans="1:21" ht="15.75" customHeight="1">
      <c r="A55" s="105" t="str">
        <f>+'2x2 MIX'!A43</f>
        <v>2x2 Mix</v>
      </c>
      <c r="B55" s="105" t="str">
        <f>+'2x2 MIX'!B43</f>
        <v>A</v>
      </c>
      <c r="C55" s="105" t="str">
        <f>+'2x2 MIX'!C43</f>
        <v>EUIPO 3</v>
      </c>
      <c r="D55" s="105" t="str">
        <f>+'2x2 MIX'!D43</f>
        <v>Paddington</v>
      </c>
      <c r="E55" s="105">
        <f>+'2x2 MIX'!E43</f>
        <v>1</v>
      </c>
      <c r="F55" s="106">
        <f>+'2x2 MIX'!F43</f>
        <v>46186</v>
      </c>
      <c r="G55" s="107">
        <f>+'2x2 MIX'!G43</f>
        <v>0.59861111111111143</v>
      </c>
      <c r="H55" s="108" t="str">
        <f>VLOOKUP(C55,'2x2 MIX'!$B$4:$E$28,4,)</f>
        <v>EUIPO</v>
      </c>
      <c r="I55" s="108" t="str">
        <f>VLOOKUP(D55,'2x2 MIX'!$B$4:$E$28,4,)</f>
        <v>EUROJUST</v>
      </c>
      <c r="J55" s="108" t="str">
        <f>VLOOKUP(C55,'2x2 MIX'!$B$4:$D$28,2,)</f>
        <v>CSENKE JUDIT</v>
      </c>
      <c r="K55" s="108" t="str">
        <f>VLOOKUP(C55,'2x2 MIX'!$B$4:$D$28,3,)</f>
        <v>BILLERAULT AURELIEN</v>
      </c>
      <c r="L55" s="108" t="str">
        <f>VLOOKUP(D55,'2x2 MIX'!$B$4:$D$28,2,)</f>
        <v>Seixas Joao</v>
      </c>
      <c r="M55" s="108" t="str">
        <f>VLOOKUP(D55,'2x2 MIX'!$B$4:$D$28,3,)</f>
        <v>Klayn Aglika</v>
      </c>
      <c r="N55" s="108"/>
      <c r="O55" s="108"/>
      <c r="P55" s="98"/>
      <c r="Q55" s="98"/>
      <c r="R55" s="98"/>
      <c r="S55" s="98"/>
      <c r="T55" s="98"/>
      <c r="U55" s="98"/>
    </row>
    <row r="56" spans="1:21" ht="15.75" customHeight="1">
      <c r="A56" s="105" t="str">
        <f>+'2x2 MIX'!A44</f>
        <v>2x2 Mix</v>
      </c>
      <c r="B56" s="105" t="str">
        <f>+'2x2 MIX'!B44</f>
        <v>B</v>
      </c>
      <c r="C56" s="105" t="str">
        <f>+'2x2 MIX'!C44</f>
        <v>EUIPO 4</v>
      </c>
      <c r="D56" s="105" t="str">
        <f>+'2x2 MIX'!D44</f>
        <v>The Lambrusco Paradox</v>
      </c>
      <c r="E56" s="105">
        <f>+'2x2 MIX'!E44</f>
        <v>2</v>
      </c>
      <c r="F56" s="106">
        <f>+'2x2 MIX'!F44</f>
        <v>46186</v>
      </c>
      <c r="G56" s="107">
        <f>+'2x2 MIX'!G44</f>
        <v>0.59861111111111143</v>
      </c>
      <c r="H56" s="108" t="str">
        <f>VLOOKUP(C56,'2x2 MIX'!$B$4:$E$28,4,)</f>
        <v>EUIPO</v>
      </c>
      <c r="I56" s="108" t="str">
        <f>VLOOKUP(D56,'2x2 MIX'!$B$4:$E$28,4,)</f>
        <v>EUROJUST</v>
      </c>
      <c r="J56" s="108" t="str">
        <f>VLOOKUP(C56,'2x2 MIX'!$B$4:$D$28,2,)</f>
        <v>Federica Foti</v>
      </c>
      <c r="K56" s="108" t="str">
        <f>VLOOKUP(C56,'2x2 MIX'!$B$4:$D$28,3,)</f>
        <v>CORRADO ALESSANDRO</v>
      </c>
      <c r="L56" s="108" t="str">
        <f>VLOOKUP(D56,'2x2 MIX'!$B$4:$D$28,2,)</f>
        <v xml:space="preserve">Bonato Stefano </v>
      </c>
      <c r="M56" s="108" t="str">
        <f>VLOOKUP(D56,'2x2 MIX'!$B$4:$D$28,3,)</f>
        <v>Conti Lucia</v>
      </c>
      <c r="N56" s="108"/>
      <c r="O56" s="108"/>
      <c r="P56" s="98"/>
      <c r="Q56" s="98"/>
      <c r="R56" s="98"/>
      <c r="S56" s="98"/>
      <c r="T56" s="98"/>
      <c r="U56" s="98"/>
    </row>
    <row r="57" spans="1:21" ht="15.75" customHeight="1">
      <c r="A57" s="105" t="str">
        <f>+'2x2 MIX'!A45</f>
        <v>2x2 Mix</v>
      </c>
      <c r="B57" s="105" t="str">
        <f>+'2x2 MIX'!B45</f>
        <v>C</v>
      </c>
      <c r="C57" s="105" t="str">
        <f>+'2x2 MIX'!C45</f>
        <v>Copacabana</v>
      </c>
      <c r="D57" s="105" t="str">
        <f>+'2x2 MIX'!D45</f>
        <v>From Tokyo to The Hague</v>
      </c>
      <c r="E57" s="105">
        <f>+'2x2 MIX'!E45</f>
        <v>3</v>
      </c>
      <c r="F57" s="106">
        <f>+'2x2 MIX'!F45</f>
        <v>46186</v>
      </c>
      <c r="G57" s="107">
        <f>+'2x2 MIX'!G45</f>
        <v>0.61458333333333359</v>
      </c>
      <c r="H57" s="108" t="str">
        <f>VLOOKUP(C57,'2x2 MIX'!$B$4:$E$28,4,)</f>
        <v>FRONTEX</v>
      </c>
      <c r="I57" s="108" t="str">
        <f>VLOOKUP(D57,'2x2 MIX'!$B$4:$E$28,4,)</f>
        <v>EUROJUST</v>
      </c>
      <c r="J57" s="108" t="str">
        <f>VLOOKUP(C57,'2x2 MIX'!$B$4:$D$28,2,)</f>
        <v>Michal Narojek</v>
      </c>
      <c r="K57" s="108" t="str">
        <f>VLOOKUP(C57,'2x2 MIX'!$B$4:$D$28,3,)</f>
        <v>Monika Ciesielska</v>
      </c>
      <c r="L57" s="108" t="str">
        <f>VLOOKUP(D57,'2x2 MIX'!$B$4:$D$28,2,)</f>
        <v>Rausch Laura</v>
      </c>
      <c r="M57" s="108" t="str">
        <f>VLOOKUP(D57,'2x2 MIX'!$B$4:$D$28,3,)</f>
        <v>Marinelli Andrea</v>
      </c>
      <c r="N57" s="108"/>
      <c r="O57" s="108"/>
      <c r="P57" s="98"/>
      <c r="Q57" s="98"/>
      <c r="R57" s="98"/>
      <c r="S57" s="98"/>
      <c r="T57" s="98"/>
      <c r="U57" s="98"/>
    </row>
    <row r="58" spans="1:21" ht="15.75" customHeight="1">
      <c r="A58" s="105" t="str">
        <f>+'2x2 MIX'!A46</f>
        <v>2x2 Mix</v>
      </c>
      <c r="B58" s="105" t="str">
        <f>+'2x2 MIX'!B46</f>
        <v>D</v>
      </c>
      <c r="C58" s="105" t="str">
        <f>+'2x2 MIX'!C46</f>
        <v>Keto</v>
      </c>
      <c r="D58" s="105" t="str">
        <f>+'2x2 MIX'!D46</f>
        <v>EFSA 3</v>
      </c>
      <c r="E58" s="105">
        <f>+'2x2 MIX'!E46</f>
        <v>4</v>
      </c>
      <c r="F58" s="106">
        <f>+'2x2 MIX'!F46</f>
        <v>46186</v>
      </c>
      <c r="G58" s="107">
        <f>+'2x2 MIX'!G46</f>
        <v>0.61458333333333359</v>
      </c>
      <c r="H58" s="108" t="str">
        <f>VLOOKUP(C58,'2x2 MIX'!$B$4:$E$28,4,)</f>
        <v>FRONTEX</v>
      </c>
      <c r="I58" s="108" t="str">
        <f>VLOOKUP(D58,'2x2 MIX'!$B$4:$E$28,4,)</f>
        <v>EFSA</v>
      </c>
      <c r="J58" s="108" t="str">
        <f>VLOOKUP(C58,'2x2 MIX'!$B$4:$D$28,2,)</f>
        <v>Georgios Dimitropoulos</v>
      </c>
      <c r="K58" s="108" t="str">
        <f>VLOOKUP(C58,'2x2 MIX'!$B$4:$D$28,3,)</f>
        <v>Evgenia Kalogeropoulou</v>
      </c>
      <c r="L58" s="108" t="str">
        <f>VLOOKUP(D58,'2x2 MIX'!$B$4:$D$28,2,)</f>
        <v>Marchese Emanuela</v>
      </c>
      <c r="M58" s="108" t="str">
        <f>VLOOKUP(D58,'2x2 MIX'!$B$4:$D$28,3,)</f>
        <v>Marchesini Matteo</v>
      </c>
      <c r="N58" s="108"/>
      <c r="O58" s="108"/>
      <c r="P58" s="98"/>
      <c r="Q58" s="98"/>
      <c r="R58" s="98"/>
      <c r="S58" s="98"/>
      <c r="T58" s="98"/>
      <c r="U58" s="98"/>
    </row>
    <row r="59" spans="1:21" ht="15.75" customHeight="1">
      <c r="A59" s="105" t="str">
        <f>+'2x2 MIX'!A47</f>
        <v>2x2 Mix</v>
      </c>
      <c r="B59" s="105" t="str">
        <f>+'2x2 MIX'!B47</f>
        <v>E</v>
      </c>
      <c r="C59" s="105" t="str">
        <f>+'2x2 MIX'!C47</f>
        <v>Jellybeans</v>
      </c>
      <c r="D59" s="105" t="str">
        <f>+'2x2 MIX'!D47</f>
        <v>EFSA 4</v>
      </c>
      <c r="E59" s="105">
        <f>+'2x2 MIX'!E47</f>
        <v>1</v>
      </c>
      <c r="F59" s="106">
        <f>+'2x2 MIX'!F47</f>
        <v>46186</v>
      </c>
      <c r="G59" s="107">
        <f>+'2x2 MIX'!G47</f>
        <v>0.6145833333333337</v>
      </c>
      <c r="H59" s="108" t="str">
        <f>VLOOKUP(C59,'2x2 MIX'!$B$4:$E$28,4,)</f>
        <v>FRONTEX</v>
      </c>
      <c r="I59" s="108" t="str">
        <f>VLOOKUP(D59,'2x2 MIX'!$B$4:$E$28,4,)</f>
        <v>EFSA</v>
      </c>
      <c r="J59" s="108" t="str">
        <f>VLOOKUP(C59,'2x2 MIX'!$B$4:$D$28,2,)</f>
        <v>Natalia Alberska</v>
      </c>
      <c r="K59" s="108" t="str">
        <f>VLOOKUP(C59,'2x2 MIX'!$B$4:$D$28,3,)</f>
        <v>Oliver Bosnar</v>
      </c>
      <c r="L59" s="108" t="str">
        <f>VLOOKUP(D59,'2x2 MIX'!$B$4:$D$28,2,)</f>
        <v>Kralova Irena</v>
      </c>
      <c r="M59" s="108" t="str">
        <f>VLOOKUP(D59,'2x2 MIX'!$B$4:$D$28,3,)</f>
        <v>Ackerl Reinhard</v>
      </c>
      <c r="N59" s="108"/>
      <c r="O59" s="108"/>
      <c r="P59" s="98"/>
      <c r="Q59" s="98"/>
      <c r="R59" s="98"/>
      <c r="S59" s="98"/>
      <c r="T59" s="98"/>
      <c r="U59" s="98"/>
    </row>
    <row r="60" spans="1:21" ht="15.75" customHeight="1">
      <c r="A60" s="105" t="str">
        <f>+'2x2 MIX'!A48</f>
        <v>2x2 Mix</v>
      </c>
      <c r="B60" s="105" t="str">
        <f>+'2x2 MIX'!B48</f>
        <v>F</v>
      </c>
      <c r="C60" s="105" t="str">
        <f>+'2x2 MIX'!C48</f>
        <v>Volare oooh</v>
      </c>
      <c r="D60" s="105" t="str">
        <f>+'2x2 MIX'!D48</f>
        <v>EFSA 5</v>
      </c>
      <c r="E60" s="105">
        <f>+'2x2 MIX'!E48</f>
        <v>2</v>
      </c>
      <c r="F60" s="106">
        <f>+'2x2 MIX'!F48</f>
        <v>46186</v>
      </c>
      <c r="G60" s="107">
        <f>+'2x2 MIX'!G48</f>
        <v>0.6145833333333337</v>
      </c>
      <c r="H60" s="108" t="str">
        <f>VLOOKUP(C60,'2x2 MIX'!$B$4:$E$28,4,)</f>
        <v>FRONTEX</v>
      </c>
      <c r="I60" s="108" t="str">
        <f>VLOOKUP(D60,'2x2 MIX'!$B$4:$E$28,4,)</f>
        <v>EFSA</v>
      </c>
      <c r="J60" s="108" t="str">
        <f>VLOOKUP(C60,'2x2 MIX'!$B$4:$D$28,2,)</f>
        <v>Anna Sofia Messeri</v>
      </c>
      <c r="K60" s="108" t="str">
        <f>VLOOKUP(C60,'2x2 MIX'!$B$4:$D$28,3,)</f>
        <v>Mariusz Dzierżawski</v>
      </c>
      <c r="L60" s="108" t="str">
        <f>VLOOKUP(D60,'2x2 MIX'!$B$4:$D$28,2,)</f>
        <v>Pecoraro Simona</v>
      </c>
      <c r="M60" s="108" t="str">
        <f>VLOOKUP(D60,'2x2 MIX'!$B$4:$D$28,3,)</f>
        <v>Ferri Alessandro</v>
      </c>
      <c r="N60" s="108"/>
      <c r="O60" s="108"/>
      <c r="P60" s="98"/>
      <c r="Q60" s="98"/>
      <c r="R60" s="98"/>
      <c r="S60" s="98"/>
      <c r="T60" s="98"/>
      <c r="U60" s="98"/>
    </row>
    <row r="61" spans="1:21" ht="15.75" customHeight="1">
      <c r="A61" s="105" t="str">
        <f>+'2x2 MIX'!A49</f>
        <v>2x2 Mix</v>
      </c>
      <c r="B61" s="105" t="str">
        <f>+'2x2 MIX'!B49</f>
        <v>A</v>
      </c>
      <c r="C61" s="105" t="str">
        <f>+'2x2 MIX'!C49</f>
        <v xml:space="preserve">Ooh la la </v>
      </c>
      <c r="D61" s="105" t="str">
        <f>+'2x2 MIX'!D49</f>
        <v>Se non spigoli non vale</v>
      </c>
      <c r="E61" s="105">
        <f>+'2x2 MIX'!E49</f>
        <v>3</v>
      </c>
      <c r="F61" s="106">
        <f>+'2x2 MIX'!F49</f>
        <v>46186</v>
      </c>
      <c r="G61" s="107">
        <f>+'2x2 MIX'!G49</f>
        <v>0.63055555555555576</v>
      </c>
      <c r="H61" s="108" t="str">
        <f>VLOOKUP(C61,'2x2 MIX'!$B$4:$E$28,4,)</f>
        <v>EMA</v>
      </c>
      <c r="I61" s="108" t="str">
        <f>VLOOKUP(D61,'2x2 MIX'!$B$4:$E$28,4,)</f>
        <v>JRC</v>
      </c>
      <c r="J61" s="108" t="str">
        <f>VLOOKUP(C61,'2x2 MIX'!$B$4:$D$28,2,)</f>
        <v>Caroline Pothet</v>
      </c>
      <c r="K61" s="108" t="str">
        <f>VLOOKUP(C61,'2x2 MIX'!$B$4:$D$28,3,)</f>
        <v>Frank Pétavy</v>
      </c>
      <c r="L61" s="108" t="str">
        <f>VLOOKUP(D61,'2x2 MIX'!$B$4:$D$28,2,)</f>
        <v>Boba</v>
      </c>
      <c r="M61" s="108" t="str">
        <f>VLOOKUP(D61,'2x2 MIX'!$B$4:$D$28,3,)</f>
        <v>Carlo</v>
      </c>
      <c r="N61" s="108"/>
      <c r="O61" s="108"/>
      <c r="P61" s="98"/>
      <c r="Q61" s="98"/>
      <c r="R61" s="98"/>
      <c r="S61" s="98"/>
      <c r="T61" s="98"/>
      <c r="U61" s="98"/>
    </row>
    <row r="62" spans="1:21" ht="15.75" customHeight="1">
      <c r="A62" s="105" t="str">
        <f>+'2x2 MIX'!A50</f>
        <v>2x2 Mix</v>
      </c>
      <c r="B62" s="105" t="str">
        <f>+'2x2 MIX'!B50</f>
        <v>B</v>
      </c>
      <c r="C62" s="105" t="str">
        <f>+'2x2 MIX'!C50</f>
        <v>Balkan Beach Ballers</v>
      </c>
      <c r="D62" s="105" t="str">
        <f>+'2x2 MIX'!D50</f>
        <v>JRC Energy dense</v>
      </c>
      <c r="E62" s="105">
        <f>+'2x2 MIX'!E50</f>
        <v>4</v>
      </c>
      <c r="F62" s="106">
        <f>+'2x2 MIX'!F50</f>
        <v>46186</v>
      </c>
      <c r="G62" s="107">
        <f>+'2x2 MIX'!G50</f>
        <v>0.63055555555555576</v>
      </c>
      <c r="H62" s="108" t="str">
        <f>VLOOKUP(C62,'2x2 MIX'!$B$4:$E$28,4,)</f>
        <v>EMA</v>
      </c>
      <c r="I62" s="108" t="str">
        <f>VLOOKUP(D62,'2x2 MIX'!$B$4:$E$28,4,)</f>
        <v>JRC</v>
      </c>
      <c r="J62" s="108" t="str">
        <f>VLOOKUP(C62,'2x2 MIX'!$B$4:$D$28,2,)</f>
        <v>Mihaela Pereteatcu</v>
      </c>
      <c r="K62" s="108" t="str">
        <f>VLOOKUP(C62,'2x2 MIX'!$B$4:$D$28,3,)</f>
        <v>Evangelos Kotzagiorgis</v>
      </c>
      <c r="L62" s="108" t="str">
        <f>VLOOKUP(D62,'2x2 MIX'!$B$4:$D$28,2,)</f>
        <v>Elisa B.</v>
      </c>
      <c r="M62" s="108" t="str">
        <f>VLOOKUP(D62,'2x2 MIX'!$B$4:$D$28,3,)</f>
        <v>Flavio</v>
      </c>
      <c r="N62" s="108"/>
      <c r="O62" s="108"/>
      <c r="P62" s="98"/>
      <c r="Q62" s="98"/>
      <c r="R62" s="98"/>
      <c r="S62" s="98"/>
      <c r="T62" s="98"/>
      <c r="U62" s="98"/>
    </row>
    <row r="63" spans="1:21" ht="15.75" customHeight="1">
      <c r="A63" s="105" t="str">
        <f>+'2x2 MIX'!A51</f>
        <v>2x2 Mix</v>
      </c>
      <c r="B63" s="105" t="str">
        <f>+'2x2 MIX'!B51</f>
        <v>C</v>
      </c>
      <c r="C63" s="105" t="str">
        <f>+'2x2 MIX'!C51</f>
        <v>Mdina Defenders</v>
      </c>
      <c r="D63" s="105" t="str">
        <f>+'2x2 MIX'!D51</f>
        <v>Gianmarcoooo</v>
      </c>
      <c r="E63" s="105">
        <f>+'2x2 MIX'!E51</f>
        <v>1</v>
      </c>
      <c r="F63" s="106">
        <f>+'2x2 MIX'!F51</f>
        <v>46186</v>
      </c>
      <c r="G63" s="107">
        <f>+'2x2 MIX'!G51</f>
        <v>0.63055555555555598</v>
      </c>
      <c r="H63" s="108" t="str">
        <f>VLOOKUP(C63,'2x2 MIX'!$B$4:$E$28,4,)</f>
        <v>EUAA</v>
      </c>
      <c r="I63" s="108" t="str">
        <f>VLOOKUP(D63,'2x2 MIX'!$B$4:$E$28,4,)</f>
        <v>JRC</v>
      </c>
      <c r="J63" s="108" t="str">
        <f>VLOOKUP(C63,'2x2 MIX'!$B$4:$D$28,2,)</f>
        <v>Vasileios</v>
      </c>
      <c r="K63" s="108" t="str">
        <f>VLOOKUP(C63,'2x2 MIX'!$B$4:$D$28,3,)</f>
        <v>Maria</v>
      </c>
      <c r="L63" s="108" t="str">
        <f>VLOOKUP(D63,'2x2 MIX'!$B$4:$D$28,2,)</f>
        <v>Ilaria</v>
      </c>
      <c r="M63" s="108" t="str">
        <f>VLOOKUP(D63,'2x2 MIX'!$B$4:$D$28,3,)</f>
        <v>Fabio</v>
      </c>
      <c r="N63" s="108"/>
      <c r="O63" s="108"/>
      <c r="P63" s="98"/>
      <c r="Q63" s="98"/>
      <c r="R63" s="98"/>
      <c r="S63" s="98"/>
      <c r="T63" s="98"/>
      <c r="U63" s="98"/>
    </row>
    <row r="64" spans="1:21" ht="15.75" customHeight="1">
      <c r="A64" s="105" t="str">
        <f>+'2x2 MIX'!A52</f>
        <v>2x2 Mix</v>
      </c>
      <c r="B64" s="105" t="str">
        <f>+'2x2 MIX'!B52</f>
        <v>D</v>
      </c>
      <c r="C64" s="105" t="str">
        <f>+'2x2 MIX'!C52</f>
        <v>Ftira Fellowship</v>
      </c>
      <c r="D64" s="105" t="str">
        <f>+'2x2 MIX'!D52</f>
        <v>Ticino e Carbonara</v>
      </c>
      <c r="E64" s="105">
        <f>+'2x2 MIX'!E52</f>
        <v>2</v>
      </c>
      <c r="F64" s="106">
        <f>+'2x2 MIX'!F52</f>
        <v>46186</v>
      </c>
      <c r="G64" s="107">
        <f>+'2x2 MIX'!G52</f>
        <v>0.63055555555555598</v>
      </c>
      <c r="H64" s="108" t="str">
        <f>VLOOKUP(C64,'2x2 MIX'!$B$4:$E$28,4,)</f>
        <v>EUAA</v>
      </c>
      <c r="I64" s="108" t="str">
        <f>VLOOKUP(D64,'2x2 MIX'!$B$4:$E$28,4,)</f>
        <v>JRC</v>
      </c>
      <c r="J64" s="108" t="str">
        <f>VLOOKUP(C64,'2x2 MIX'!$B$4:$D$28,2,)</f>
        <v>Wade</v>
      </c>
      <c r="K64" s="108" t="str">
        <f>VLOOKUP(C64,'2x2 MIX'!$B$4:$D$28,3,)</f>
        <v>Claudia</v>
      </c>
      <c r="L64" s="108" t="str">
        <f>VLOOKUP(D64,'2x2 MIX'!$B$4:$D$28,2,)</f>
        <v>Federica C.</v>
      </c>
      <c r="M64" s="108" t="str">
        <f>VLOOKUP(D64,'2x2 MIX'!$B$4:$D$28,3,)</f>
        <v>Roberto</v>
      </c>
      <c r="N64" s="108"/>
      <c r="O64" s="108"/>
      <c r="P64" s="98"/>
      <c r="Q64" s="98"/>
      <c r="R64" s="98"/>
      <c r="S64" s="98"/>
      <c r="T64" s="98"/>
      <c r="U64" s="98"/>
    </row>
    <row r="65" spans="1:21" ht="15.75" customHeight="1">
      <c r="A65" s="105" t="str">
        <f>+'2x2 MIX'!A53</f>
        <v>2x2 Mix</v>
      </c>
      <c r="B65" s="105" t="str">
        <f>+'2x2 MIX'!B53</f>
        <v>E</v>
      </c>
      <c r="C65" s="105" t="str">
        <f>+'2x2 MIX'!C53</f>
        <v>EUROPOL MIX</v>
      </c>
      <c r="D65" s="105" t="str">
        <f>+'2x2 MIX'!D53</f>
        <v>Sandstormers</v>
      </c>
      <c r="E65" s="105">
        <f>+'2x2 MIX'!E53</f>
        <v>3</v>
      </c>
      <c r="F65" s="106">
        <f>+'2x2 MIX'!F53</f>
        <v>46186</v>
      </c>
      <c r="G65" s="107">
        <f>+'2x2 MIX'!G53</f>
        <v>0.64652777777777803</v>
      </c>
      <c r="H65" s="108" t="str">
        <f>VLOOKUP(C65,'2x2 MIX'!$B$4:$E$28,4,)</f>
        <v>EUROPOL</v>
      </c>
      <c r="I65" s="108" t="str">
        <f>VLOOKUP(D65,'2x2 MIX'!$B$4:$E$28,4,)</f>
        <v>REA</v>
      </c>
      <c r="J65" s="108" t="str">
        <f>VLOOKUP(C65,'2x2 MIX'!$B$4:$D$28,2,)</f>
        <v>Stanciu Anca</v>
      </c>
      <c r="K65" s="108" t="str">
        <f>VLOOKUP(C65,'2x2 MIX'!$B$4:$D$28,3,)</f>
        <v>Serra Jose Manuel de Jesus</v>
      </c>
      <c r="L65" s="108" t="str">
        <f>VLOOKUP(D65,'2x2 MIX'!$B$4:$D$28,2,)</f>
        <v xml:space="preserve">Piiroja Ivi </v>
      </c>
      <c r="M65" s="108" t="str">
        <f>VLOOKUP(D65,'2x2 MIX'!$B$4:$D$28,3,)</f>
        <v xml:space="preserve">Paunovic Ogren </v>
      </c>
      <c r="N65" s="108"/>
      <c r="O65" s="108"/>
      <c r="P65" s="98"/>
      <c r="Q65" s="98"/>
      <c r="R65" s="98"/>
      <c r="S65" s="98"/>
      <c r="T65" s="98"/>
      <c r="U65" s="98"/>
    </row>
    <row r="66" spans="1:21" ht="15.75" customHeight="1">
      <c r="A66" s="105" t="str">
        <f>+'2x2 MIX'!A54</f>
        <v>2x2 Mix</v>
      </c>
      <c r="B66" s="105" t="str">
        <f>+'2x2 MIX'!B54</f>
        <v>F</v>
      </c>
      <c r="C66" s="105" t="str">
        <f>+'2x2 MIX'!C54</f>
        <v>BBB</v>
      </c>
      <c r="D66" s="105" t="str">
        <f>+'2x2 MIX'!D54</f>
        <v>Sandbox players</v>
      </c>
      <c r="E66" s="105">
        <f>+'2x2 MIX'!E54</f>
        <v>4</v>
      </c>
      <c r="F66" s="106">
        <f>+'2x2 MIX'!F54</f>
        <v>46186</v>
      </c>
      <c r="G66" s="107">
        <f>+'2x2 MIX'!G54</f>
        <v>0.64652777777777803</v>
      </c>
      <c r="H66" s="108" t="str">
        <f>VLOOKUP(C66,'2x2 MIX'!$B$4:$E$28,4,)</f>
        <v>REA</v>
      </c>
      <c r="I66" s="108" t="str">
        <f>VLOOKUP(D66,'2x2 MIX'!$B$4:$E$28,4,)</f>
        <v>EMA</v>
      </c>
      <c r="J66" s="108" t="str">
        <f>VLOOKUP(C66,'2x2 MIX'!$B$4:$D$28,2,)</f>
        <v>Scioni Barbara</v>
      </c>
      <c r="K66" s="108" t="str">
        <f>VLOOKUP(C66,'2x2 MIX'!$B$4:$D$28,3,)</f>
        <v xml:space="preserve">Napolitano Andrea </v>
      </c>
      <c r="L66" s="108" t="str">
        <f>VLOOKUP(D66,'2x2 MIX'!$B$4:$D$28,2,)</f>
        <v>Valentina Cordo</v>
      </c>
      <c r="M66" s="108" t="str">
        <f>VLOOKUP(D66,'2x2 MIX'!$B$4:$D$28,3,)</f>
        <v>Thibaut Sauces</v>
      </c>
      <c r="N66" s="108"/>
      <c r="O66" s="108"/>
      <c r="P66" s="98"/>
      <c r="Q66" s="98"/>
      <c r="R66" s="98"/>
      <c r="S66" s="98"/>
      <c r="T66" s="98"/>
      <c r="U66" s="98"/>
    </row>
    <row r="67" spans="1:21" ht="15.75" customHeight="1">
      <c r="A67" s="105" t="str">
        <f>+'2x2 MIX'!A55</f>
        <v>2x2 Mix</v>
      </c>
      <c r="B67" s="105" t="str">
        <f>+'2x2 MIX'!B55</f>
        <v>A</v>
      </c>
      <c r="C67" s="105" t="str">
        <f>+'2x2 MIX'!C55</f>
        <v>EUIPO 3</v>
      </c>
      <c r="D67" s="105" t="str">
        <f>+'2x2 MIX'!D55</f>
        <v>ECDC</v>
      </c>
      <c r="E67" s="105">
        <f>+'2x2 MIX'!E55</f>
        <v>1</v>
      </c>
      <c r="F67" s="106">
        <f>+'2x2 MIX'!F55</f>
        <v>46186</v>
      </c>
      <c r="G67" s="107">
        <f>+'2x2 MIX'!G55</f>
        <v>0.64652777777777826</v>
      </c>
      <c r="H67" s="108" t="str">
        <f>VLOOKUP(C67,'2x2 MIX'!$B$4:$E$28,4,)</f>
        <v>EUIPO</v>
      </c>
      <c r="I67" s="108" t="str">
        <f>VLOOKUP(D67,'2x2 MIX'!$B$4:$E$28,4,)</f>
        <v>ECDC</v>
      </c>
      <c r="J67" s="108" t="str">
        <f>VLOOKUP(C67,'2x2 MIX'!$B$4:$D$28,2,)</f>
        <v>CSENKE JUDIT</v>
      </c>
      <c r="K67" s="108" t="str">
        <f>VLOOKUP(C67,'2x2 MIX'!$B$4:$D$28,3,)</f>
        <v>BILLERAULT AURELIEN</v>
      </c>
      <c r="L67" s="108" t="str">
        <f>VLOOKUP(D67,'2x2 MIX'!$B$4:$D$28,2,)</f>
        <v>Ionut Sava</v>
      </c>
      <c r="M67" s="108" t="str">
        <f>VLOOKUP(D67,'2x2 MIX'!$B$4:$D$28,3,)</f>
        <v>Anna Jaroszuk</v>
      </c>
      <c r="N67" s="108"/>
      <c r="O67" s="108"/>
      <c r="P67" s="98"/>
      <c r="Q67" s="98"/>
      <c r="R67" s="98"/>
      <c r="S67" s="98"/>
      <c r="T67" s="98"/>
      <c r="U67" s="98"/>
    </row>
    <row r="68" spans="1:21" ht="15.75" customHeight="1">
      <c r="A68" s="105" t="str">
        <f>+'2x2 MIX'!A56</f>
        <v>2x2 Mix</v>
      </c>
      <c r="B68" s="105" t="str">
        <f>+'2x2 MIX'!B56</f>
        <v>B</v>
      </c>
      <c r="C68" s="105" t="str">
        <f>+'2x2 MIX'!C56</f>
        <v>EUIPO 4</v>
      </c>
      <c r="D68" s="105" t="str">
        <f>+'2x2 MIX'!D56</f>
        <v>Balkan Beach Ballers</v>
      </c>
      <c r="E68" s="105">
        <f>+'2x2 MIX'!E56</f>
        <v>2</v>
      </c>
      <c r="F68" s="106">
        <f>+'2x2 MIX'!F56</f>
        <v>46186</v>
      </c>
      <c r="G68" s="107">
        <f>+'2x2 MIX'!G56</f>
        <v>0.64652777777777826</v>
      </c>
      <c r="H68" s="108" t="str">
        <f>VLOOKUP(C68,'2x2 MIX'!$B$4:$E$28,4,)</f>
        <v>EUIPO</v>
      </c>
      <c r="I68" s="108" t="str">
        <f>VLOOKUP(D68,'2x2 MIX'!$B$4:$E$28,4,)</f>
        <v>EMA</v>
      </c>
      <c r="J68" s="108" t="str">
        <f>VLOOKUP(C68,'2x2 MIX'!$B$4:$D$28,2,)</f>
        <v>Federica Foti</v>
      </c>
      <c r="K68" s="108" t="str">
        <f>VLOOKUP(C68,'2x2 MIX'!$B$4:$D$28,3,)</f>
        <v>CORRADO ALESSANDRO</v>
      </c>
      <c r="L68" s="108" t="str">
        <f>VLOOKUP(D68,'2x2 MIX'!$B$4:$D$28,2,)</f>
        <v>Mihaela Pereteatcu</v>
      </c>
      <c r="M68" s="108" t="str">
        <f>VLOOKUP(D68,'2x2 MIX'!$B$4:$D$28,3,)</f>
        <v>Evangelos Kotzagiorgis</v>
      </c>
      <c r="N68" s="108"/>
      <c r="O68" s="108"/>
      <c r="P68" s="98"/>
      <c r="Q68" s="98"/>
      <c r="R68" s="98"/>
      <c r="S68" s="98"/>
      <c r="T68" s="98"/>
      <c r="U68" s="98"/>
    </row>
    <row r="69" spans="1:21" ht="15.75" customHeight="1">
      <c r="A69" s="105" t="str">
        <f>+'2x2 MIX'!A57</f>
        <v>2x2 Mix</v>
      </c>
      <c r="B69" s="105" t="str">
        <f>+'2x2 MIX'!B57</f>
        <v>C</v>
      </c>
      <c r="C69" s="105" t="str">
        <f>+'2x2 MIX'!C57</f>
        <v>Copacabana</v>
      </c>
      <c r="D69" s="105" t="str">
        <f>+'2x2 MIX'!D57</f>
        <v>Mdina Defenders</v>
      </c>
      <c r="E69" s="105">
        <f>+'2x2 MIX'!E57</f>
        <v>3</v>
      </c>
      <c r="F69" s="106">
        <f>+'2x2 MIX'!F57</f>
        <v>46186</v>
      </c>
      <c r="G69" s="107">
        <f>+'2x2 MIX'!G57</f>
        <v>0.66250000000000031</v>
      </c>
      <c r="H69" s="108" t="str">
        <f>VLOOKUP(C69,'2x2 MIX'!$B$4:$E$28,4,)</f>
        <v>FRONTEX</v>
      </c>
      <c r="I69" s="108" t="str">
        <f>VLOOKUP(D69,'2x2 MIX'!$B$4:$E$28,4,)</f>
        <v>EUAA</v>
      </c>
      <c r="J69" s="108" t="str">
        <f>VLOOKUP(C69,'2x2 MIX'!$B$4:$D$28,2,)</f>
        <v>Michal Narojek</v>
      </c>
      <c r="K69" s="108" t="str">
        <f>VLOOKUP(C69,'2x2 MIX'!$B$4:$D$28,3,)</f>
        <v>Monika Ciesielska</v>
      </c>
      <c r="L69" s="108" t="str">
        <f>VLOOKUP(D69,'2x2 MIX'!$B$4:$D$28,2,)</f>
        <v>Vasileios</v>
      </c>
      <c r="M69" s="108" t="str">
        <f>VLOOKUP(D69,'2x2 MIX'!$B$4:$D$28,3,)</f>
        <v>Maria</v>
      </c>
      <c r="N69" s="108"/>
      <c r="O69" s="108"/>
      <c r="P69" s="98"/>
      <c r="Q69" s="98"/>
      <c r="R69" s="98"/>
      <c r="S69" s="98"/>
      <c r="T69" s="98"/>
      <c r="U69" s="98"/>
    </row>
    <row r="70" spans="1:21" ht="15.75" customHeight="1">
      <c r="A70" s="105" t="str">
        <f>+'2x2 MIX'!A58</f>
        <v>2x2 Mix</v>
      </c>
      <c r="B70" s="105" t="str">
        <f>+'2x2 MIX'!B58</f>
        <v>D</v>
      </c>
      <c r="C70" s="105" t="str">
        <f>+'2x2 MIX'!C58</f>
        <v>Keto</v>
      </c>
      <c r="D70" s="105" t="str">
        <f>+'2x2 MIX'!D58</f>
        <v>Ftira Fellowship</v>
      </c>
      <c r="E70" s="105">
        <f>+'2x2 MIX'!E58</f>
        <v>4</v>
      </c>
      <c r="F70" s="106">
        <f>+'2x2 MIX'!F58</f>
        <v>46186</v>
      </c>
      <c r="G70" s="107">
        <f>+'2x2 MIX'!G58</f>
        <v>0.66250000000000031</v>
      </c>
      <c r="H70" s="108" t="str">
        <f>VLOOKUP(C70,'2x2 MIX'!$B$4:$E$28,4,)</f>
        <v>FRONTEX</v>
      </c>
      <c r="I70" s="108" t="str">
        <f>VLOOKUP(D70,'2x2 MIX'!$B$4:$E$28,4,)</f>
        <v>EUAA</v>
      </c>
      <c r="J70" s="108" t="str">
        <f>VLOOKUP(C70,'2x2 MIX'!$B$4:$D$28,2,)</f>
        <v>Georgios Dimitropoulos</v>
      </c>
      <c r="K70" s="108" t="str">
        <f>VLOOKUP(C70,'2x2 MIX'!$B$4:$D$28,3,)</f>
        <v>Evgenia Kalogeropoulou</v>
      </c>
      <c r="L70" s="108" t="str">
        <f>VLOOKUP(D70,'2x2 MIX'!$B$4:$D$28,2,)</f>
        <v>Wade</v>
      </c>
      <c r="M70" s="108" t="str">
        <f>VLOOKUP(D70,'2x2 MIX'!$B$4:$D$28,3,)</f>
        <v>Claudia</v>
      </c>
      <c r="N70" s="108"/>
      <c r="O70" s="108"/>
      <c r="P70" s="98"/>
      <c r="Q70" s="98"/>
      <c r="R70" s="98"/>
      <c r="S70" s="98"/>
      <c r="T70" s="98"/>
      <c r="U70" s="98"/>
    </row>
    <row r="71" spans="1:21" ht="15.75" customHeight="1">
      <c r="A71" s="105" t="str">
        <f>+'2x2 MIX'!A59</f>
        <v>2x2 Mix</v>
      </c>
      <c r="B71" s="105" t="str">
        <f>+'2x2 MIX'!B59</f>
        <v>E</v>
      </c>
      <c r="C71" s="105" t="str">
        <f>+'2x2 MIX'!C59</f>
        <v>Jellybeans</v>
      </c>
      <c r="D71" s="105" t="str">
        <f>+'2x2 MIX'!D59</f>
        <v>EUROPOL MIX</v>
      </c>
      <c r="E71" s="105">
        <f>+'2x2 MIX'!E59</f>
        <v>1</v>
      </c>
      <c r="F71" s="106">
        <f>+'2x2 MIX'!F59</f>
        <v>46186</v>
      </c>
      <c r="G71" s="107">
        <f>+'2x2 MIX'!G59</f>
        <v>0.66250000000000053</v>
      </c>
      <c r="H71" s="108" t="str">
        <f>VLOOKUP(C71,'2x2 MIX'!$B$4:$E$28,4,)</f>
        <v>FRONTEX</v>
      </c>
      <c r="I71" s="108" t="str">
        <f>VLOOKUP(D71,'2x2 MIX'!$B$4:$E$28,4,)</f>
        <v>EUROPOL</v>
      </c>
      <c r="J71" s="108" t="str">
        <f>VLOOKUP(C71,'2x2 MIX'!$B$4:$D$28,2,)</f>
        <v>Natalia Alberska</v>
      </c>
      <c r="K71" s="108" t="str">
        <f>VLOOKUP(C71,'2x2 MIX'!$B$4:$D$28,3,)</f>
        <v>Oliver Bosnar</v>
      </c>
      <c r="L71" s="108" t="str">
        <f>VLOOKUP(D71,'2x2 MIX'!$B$4:$D$28,2,)</f>
        <v>Stanciu Anca</v>
      </c>
      <c r="M71" s="108" t="str">
        <f>VLOOKUP(D71,'2x2 MIX'!$B$4:$D$28,3,)</f>
        <v>Serra Jose Manuel de Jesus</v>
      </c>
      <c r="N71" s="108"/>
      <c r="O71" s="108"/>
      <c r="P71" s="98"/>
      <c r="Q71" s="98"/>
      <c r="R71" s="98"/>
      <c r="S71" s="98"/>
      <c r="T71" s="98"/>
      <c r="U71" s="98"/>
    </row>
    <row r="72" spans="1:21" ht="15.75" customHeight="1">
      <c r="A72" s="105" t="str">
        <f>+'2x2 MIX'!A60</f>
        <v>2x2 Mix</v>
      </c>
      <c r="B72" s="105" t="str">
        <f>+'2x2 MIX'!B60</f>
        <v>F</v>
      </c>
      <c r="C72" s="105" t="str">
        <f>+'2x2 MIX'!C60</f>
        <v>Volare oooh</v>
      </c>
      <c r="D72" s="105" t="str">
        <f>+'2x2 MIX'!D60</f>
        <v>BBB</v>
      </c>
      <c r="E72" s="105">
        <f>+'2x2 MIX'!E60</f>
        <v>2</v>
      </c>
      <c r="F72" s="106">
        <f>+'2x2 MIX'!F60</f>
        <v>46186</v>
      </c>
      <c r="G72" s="107">
        <f>+'2x2 MIX'!G60</f>
        <v>0.66250000000000053</v>
      </c>
      <c r="H72" s="108" t="str">
        <f>VLOOKUP(C72,'2x2 MIX'!$B$4:$E$28,4,)</f>
        <v>FRONTEX</v>
      </c>
      <c r="I72" s="108" t="str">
        <f>VLOOKUP(D72,'2x2 MIX'!$B$4:$E$28,4,)</f>
        <v>REA</v>
      </c>
      <c r="J72" s="108" t="str">
        <f>VLOOKUP(C72,'2x2 MIX'!$B$4:$D$28,2,)</f>
        <v>Anna Sofia Messeri</v>
      </c>
      <c r="K72" s="108" t="str">
        <f>VLOOKUP(C72,'2x2 MIX'!$B$4:$D$28,3,)</f>
        <v>Mariusz Dzierżawski</v>
      </c>
      <c r="L72" s="108" t="str">
        <f>VLOOKUP(D72,'2x2 MIX'!$B$4:$D$28,2,)</f>
        <v>Scioni Barbara</v>
      </c>
      <c r="M72" s="108" t="str">
        <f>VLOOKUP(D72,'2x2 MIX'!$B$4:$D$28,3,)</f>
        <v xml:space="preserve">Napolitano Andrea </v>
      </c>
      <c r="N72" s="108"/>
      <c r="O72" s="108"/>
      <c r="P72" s="98"/>
      <c r="Q72" s="98"/>
      <c r="R72" s="98"/>
      <c r="S72" s="98"/>
      <c r="T72" s="98"/>
      <c r="U72" s="98"/>
    </row>
    <row r="73" spans="1:21" ht="15.75" customHeight="1">
      <c r="A73" s="105" t="str">
        <f>+'2x2 MIX'!A61</f>
        <v>2x2 Mix</v>
      </c>
      <c r="B73" s="105" t="str">
        <f>+'2x2 MIX'!B61</f>
        <v>A</v>
      </c>
      <c r="C73" s="105" t="str">
        <f>+'2x2 MIX'!C61</f>
        <v>Paddington</v>
      </c>
      <c r="D73" s="105" t="str">
        <f>+'2x2 MIX'!D61</f>
        <v xml:space="preserve">Ooh la la </v>
      </c>
      <c r="E73" s="105">
        <f>+'2x2 MIX'!E61</f>
        <v>3</v>
      </c>
      <c r="F73" s="106">
        <f>+'2x2 MIX'!F61</f>
        <v>46186</v>
      </c>
      <c r="G73" s="107">
        <f>+'2x2 MIX'!G61</f>
        <v>0.67847222222222259</v>
      </c>
      <c r="H73" s="108" t="str">
        <f>VLOOKUP(C73,'2x2 MIX'!$B$4:$E$28,4,)</f>
        <v>EUROJUST</v>
      </c>
      <c r="I73" s="108" t="str">
        <f>VLOOKUP(D73,'2x2 MIX'!$B$4:$E$28,4,)</f>
        <v>EMA</v>
      </c>
      <c r="J73" s="108" t="str">
        <f>VLOOKUP(C73,'2x2 MIX'!$B$4:$D$28,2,)</f>
        <v>Seixas Joao</v>
      </c>
      <c r="K73" s="108" t="str">
        <f>VLOOKUP(C73,'2x2 MIX'!$B$4:$D$28,3,)</f>
        <v>Klayn Aglika</v>
      </c>
      <c r="L73" s="108" t="str">
        <f>VLOOKUP(D73,'2x2 MIX'!$B$4:$D$28,2,)</f>
        <v>Caroline Pothet</v>
      </c>
      <c r="M73" s="108" t="str">
        <f>VLOOKUP(D73,'2x2 MIX'!$B$4:$D$28,3,)</f>
        <v>Frank Pétavy</v>
      </c>
      <c r="N73" s="108"/>
      <c r="O73" s="108"/>
      <c r="P73" s="98"/>
      <c r="Q73" s="98"/>
      <c r="R73" s="98"/>
      <c r="S73" s="98"/>
      <c r="T73" s="98"/>
      <c r="U73" s="98"/>
    </row>
    <row r="74" spans="1:21" ht="15.75" customHeight="1">
      <c r="A74" s="105" t="str">
        <f>+'2x2 MIX'!A62</f>
        <v>2x2 Mix</v>
      </c>
      <c r="B74" s="105" t="str">
        <f>+'2x2 MIX'!B62</f>
        <v>B</v>
      </c>
      <c r="C74" s="105" t="str">
        <f>+'2x2 MIX'!C62</f>
        <v>The Lambrusco Paradox</v>
      </c>
      <c r="D74" s="105" t="str">
        <f>+'2x2 MIX'!D62</f>
        <v>JRC Energy dense</v>
      </c>
      <c r="E74" s="105">
        <f>+'2x2 MIX'!E62</f>
        <v>4</v>
      </c>
      <c r="F74" s="106">
        <f>+'2x2 MIX'!F62</f>
        <v>46186</v>
      </c>
      <c r="G74" s="107">
        <f>+'2x2 MIX'!G62</f>
        <v>0.67847222222222259</v>
      </c>
      <c r="H74" s="108" t="str">
        <f>VLOOKUP(C74,'2x2 MIX'!$B$4:$E$28,4,)</f>
        <v>EUROJUST</v>
      </c>
      <c r="I74" s="108" t="str">
        <f>VLOOKUP(D74,'2x2 MIX'!$B$4:$E$28,4,)</f>
        <v>JRC</v>
      </c>
      <c r="J74" s="108" t="str">
        <f>VLOOKUP(C74,'2x2 MIX'!$B$4:$D$28,2,)</f>
        <v xml:space="preserve">Bonato Stefano </v>
      </c>
      <c r="K74" s="108" t="str">
        <f>VLOOKUP(C74,'2x2 MIX'!$B$4:$D$28,3,)</f>
        <v>Conti Lucia</v>
      </c>
      <c r="L74" s="108" t="str">
        <f>VLOOKUP(D74,'2x2 MIX'!$B$4:$D$28,2,)</f>
        <v>Elisa B.</v>
      </c>
      <c r="M74" s="108" t="str">
        <f>VLOOKUP(D74,'2x2 MIX'!$B$4:$D$28,3,)</f>
        <v>Flavio</v>
      </c>
      <c r="N74" s="108"/>
      <c r="O74" s="108"/>
      <c r="P74" s="98"/>
      <c r="Q74" s="98"/>
      <c r="R74" s="98"/>
      <c r="S74" s="98"/>
      <c r="T74" s="98"/>
      <c r="U74" s="98"/>
    </row>
    <row r="75" spans="1:21" ht="15.75" customHeight="1">
      <c r="A75" s="105" t="str">
        <f>+'2x2 MIX'!A63</f>
        <v>2x2 Mix</v>
      </c>
      <c r="B75" s="105" t="str">
        <f>+'2x2 MIX'!B63</f>
        <v>C</v>
      </c>
      <c r="C75" s="105" t="str">
        <f>+'2x2 MIX'!C63</f>
        <v>From Tokyo to The Hague</v>
      </c>
      <c r="D75" s="105" t="str">
        <f>+'2x2 MIX'!D63</f>
        <v>Gianmarcoooo</v>
      </c>
      <c r="E75" s="105">
        <f>+'2x2 MIX'!E63</f>
        <v>1</v>
      </c>
      <c r="F75" s="106">
        <f>+'2x2 MIX'!F63</f>
        <v>46186</v>
      </c>
      <c r="G75" s="107">
        <f>+'2x2 MIX'!G63</f>
        <v>0.67847222222222281</v>
      </c>
      <c r="H75" s="108" t="str">
        <f>VLOOKUP(C75,'2x2 MIX'!$B$4:$E$28,4,)</f>
        <v>EUROJUST</v>
      </c>
      <c r="I75" s="108" t="str">
        <f>VLOOKUP(D75,'2x2 MIX'!$B$4:$E$28,4,)</f>
        <v>JRC</v>
      </c>
      <c r="J75" s="108" t="str">
        <f>VLOOKUP(C75,'2x2 MIX'!$B$4:$D$28,2,)</f>
        <v>Rausch Laura</v>
      </c>
      <c r="K75" s="108" t="str">
        <f>VLOOKUP(C75,'2x2 MIX'!$B$4:$D$28,3,)</f>
        <v>Marinelli Andrea</v>
      </c>
      <c r="L75" s="108" t="str">
        <f>VLOOKUP(D75,'2x2 MIX'!$B$4:$D$28,2,)</f>
        <v>Ilaria</v>
      </c>
      <c r="M75" s="108" t="str">
        <f>VLOOKUP(D75,'2x2 MIX'!$B$4:$D$28,3,)</f>
        <v>Fabio</v>
      </c>
      <c r="N75" s="108"/>
      <c r="O75" s="108"/>
      <c r="P75" s="98"/>
      <c r="Q75" s="98"/>
      <c r="R75" s="98"/>
      <c r="S75" s="98"/>
      <c r="T75" s="98"/>
      <c r="U75" s="98"/>
    </row>
    <row r="76" spans="1:21" ht="15.75" customHeight="1">
      <c r="A76" s="105" t="str">
        <f>+'2x2 MIX'!A64</f>
        <v>2x2 Mix</v>
      </c>
      <c r="B76" s="105" t="str">
        <f>+'2x2 MIX'!B64</f>
        <v>D</v>
      </c>
      <c r="C76" s="105" t="str">
        <f>+'2x2 MIX'!C64</f>
        <v>EFSA 3</v>
      </c>
      <c r="D76" s="105" t="str">
        <f>+'2x2 MIX'!D64</f>
        <v>Ticino e Carbonara</v>
      </c>
      <c r="E76" s="105">
        <f>+'2x2 MIX'!E64</f>
        <v>2</v>
      </c>
      <c r="F76" s="106">
        <f>+'2x2 MIX'!F64</f>
        <v>46186</v>
      </c>
      <c r="G76" s="107">
        <f>+'2x2 MIX'!G64</f>
        <v>0.67847222222222281</v>
      </c>
      <c r="H76" s="108" t="str">
        <f>VLOOKUP(C76,'2x2 MIX'!$B$4:$E$28,4,)</f>
        <v>EFSA</v>
      </c>
      <c r="I76" s="108" t="str">
        <f>VLOOKUP(D76,'2x2 MIX'!$B$4:$E$28,4,)</f>
        <v>JRC</v>
      </c>
      <c r="J76" s="108" t="str">
        <f>VLOOKUP(C76,'2x2 MIX'!$B$4:$D$28,2,)</f>
        <v>Marchese Emanuela</v>
      </c>
      <c r="K76" s="108" t="str">
        <f>VLOOKUP(C76,'2x2 MIX'!$B$4:$D$28,3,)</f>
        <v>Marchesini Matteo</v>
      </c>
      <c r="L76" s="108" t="str">
        <f>VLOOKUP(D76,'2x2 MIX'!$B$4:$D$28,2,)</f>
        <v>Federica C.</v>
      </c>
      <c r="M76" s="108" t="str">
        <f>VLOOKUP(D76,'2x2 MIX'!$B$4:$D$28,3,)</f>
        <v>Roberto</v>
      </c>
      <c r="N76" s="108"/>
      <c r="O76" s="108"/>
      <c r="P76" s="98"/>
      <c r="Q76" s="98"/>
      <c r="R76" s="98"/>
      <c r="S76" s="98"/>
      <c r="T76" s="98"/>
      <c r="U76" s="98"/>
    </row>
    <row r="77" spans="1:21" ht="15.75" customHeight="1">
      <c r="A77" s="105" t="str">
        <f>+'2x2 MIX'!A65</f>
        <v>2x2 Mix</v>
      </c>
      <c r="B77" s="105" t="str">
        <f>+'2x2 MIX'!B65</f>
        <v>E</v>
      </c>
      <c r="C77" s="105" t="str">
        <f>+'2x2 MIX'!C65</f>
        <v>EFSA 4</v>
      </c>
      <c r="D77" s="105" t="str">
        <f>+'2x2 MIX'!D65</f>
        <v>Sandstormers</v>
      </c>
      <c r="E77" s="105">
        <f>+'2x2 MIX'!E65</f>
        <v>3</v>
      </c>
      <c r="F77" s="106">
        <f>+'2x2 MIX'!F65</f>
        <v>46186</v>
      </c>
      <c r="G77" s="107">
        <f>+'2x2 MIX'!G65</f>
        <v>0.69444444444444486</v>
      </c>
      <c r="H77" s="108" t="str">
        <f>VLOOKUP(C77,'2x2 MIX'!$B$4:$E$28,4,)</f>
        <v>EFSA</v>
      </c>
      <c r="I77" s="108" t="str">
        <f>VLOOKUP(D77,'2x2 MIX'!$B$4:$E$28,4,)</f>
        <v>REA</v>
      </c>
      <c r="J77" s="108" t="str">
        <f>VLOOKUP(C77,'2x2 MIX'!$B$4:$D$28,2,)</f>
        <v>Kralova Irena</v>
      </c>
      <c r="K77" s="108" t="str">
        <f>VLOOKUP(C77,'2x2 MIX'!$B$4:$D$28,3,)</f>
        <v>Ackerl Reinhard</v>
      </c>
      <c r="L77" s="108" t="str">
        <f>VLOOKUP(D77,'2x2 MIX'!$B$4:$D$28,2,)</f>
        <v xml:space="preserve">Piiroja Ivi </v>
      </c>
      <c r="M77" s="108" t="str">
        <f>VLOOKUP(D77,'2x2 MIX'!$B$4:$D$28,3,)</f>
        <v xml:space="preserve">Paunovic Ogren </v>
      </c>
      <c r="N77" s="108"/>
      <c r="O77" s="108"/>
      <c r="P77" s="98"/>
      <c r="Q77" s="98"/>
      <c r="R77" s="98"/>
      <c r="S77" s="98"/>
      <c r="T77" s="98"/>
      <c r="U77" s="98"/>
    </row>
    <row r="78" spans="1:21" ht="15.75" customHeight="1">
      <c r="A78" s="105" t="str">
        <f>+'2x2 MIX'!A66</f>
        <v>2x2 Mix</v>
      </c>
      <c r="B78" s="105" t="str">
        <f>+'2x2 MIX'!B66</f>
        <v>F</v>
      </c>
      <c r="C78" s="105" t="str">
        <f>+'2x2 MIX'!C66</f>
        <v>EFSA 5</v>
      </c>
      <c r="D78" s="105" t="str">
        <f>+'2x2 MIX'!D66</f>
        <v>Sandbox players</v>
      </c>
      <c r="E78" s="105">
        <f>+'2x2 MIX'!E66</f>
        <v>4</v>
      </c>
      <c r="F78" s="106">
        <f>+'2x2 MIX'!F66</f>
        <v>46186</v>
      </c>
      <c r="G78" s="107">
        <f>+'2x2 MIX'!G66</f>
        <v>0.69444444444444486</v>
      </c>
      <c r="H78" s="108" t="str">
        <f>VLOOKUP(C78,'2x2 MIX'!$B$4:$E$28,4,)</f>
        <v>EFSA</v>
      </c>
      <c r="I78" s="108" t="str">
        <f>VLOOKUP(D78,'2x2 MIX'!$B$4:$E$28,4,)</f>
        <v>EMA</v>
      </c>
      <c r="J78" s="108" t="str">
        <f>VLOOKUP(C78,'2x2 MIX'!$B$4:$D$28,2,)</f>
        <v>Pecoraro Simona</v>
      </c>
      <c r="K78" s="108" t="str">
        <f>VLOOKUP(C78,'2x2 MIX'!$B$4:$D$28,3,)</f>
        <v>Ferri Alessandro</v>
      </c>
      <c r="L78" s="108" t="str">
        <f>VLOOKUP(D78,'2x2 MIX'!$B$4:$D$28,2,)</f>
        <v>Valentina Cordo</v>
      </c>
      <c r="M78" s="108" t="str">
        <f>VLOOKUP(D78,'2x2 MIX'!$B$4:$D$28,3,)</f>
        <v>Thibaut Sauces</v>
      </c>
      <c r="N78" s="108"/>
      <c r="O78" s="108"/>
      <c r="P78" s="98"/>
      <c r="Q78" s="98"/>
      <c r="R78" s="98"/>
      <c r="S78" s="98"/>
      <c r="T78" s="98"/>
      <c r="U78" s="98"/>
    </row>
    <row r="79" spans="1:21" ht="15.75" customHeight="1">
      <c r="A79" s="105" t="str">
        <f>+'2x2 MIX'!A67</f>
        <v>2x2 Mix</v>
      </c>
      <c r="B79" s="105" t="str">
        <f>+'2x2 MIX'!B67</f>
        <v>A</v>
      </c>
      <c r="C79" s="105" t="str">
        <f>+'2x2 MIX'!C67</f>
        <v>Se non spigoli non vale</v>
      </c>
      <c r="D79" s="105" t="str">
        <f>+'2x2 MIX'!D67</f>
        <v>ECDC</v>
      </c>
      <c r="E79" s="105">
        <f>+'2x2 MIX'!E67</f>
        <v>1</v>
      </c>
      <c r="F79" s="106">
        <f>+'2x2 MIX'!F67</f>
        <v>46186</v>
      </c>
      <c r="G79" s="107">
        <f>+'2x2 MIX'!G67</f>
        <v>0.69444444444444509</v>
      </c>
      <c r="H79" s="108" t="str">
        <f>VLOOKUP(C79,'2x2 MIX'!$B$4:$E$28,4,)</f>
        <v>JRC</v>
      </c>
      <c r="I79" s="108" t="str">
        <f>VLOOKUP(D79,'2x2 MIX'!$B$4:$E$28,4,)</f>
        <v>ECDC</v>
      </c>
      <c r="J79" s="108" t="str">
        <f>VLOOKUP(C79,'2x2 MIX'!$B$4:$D$28,2,)</f>
        <v>Boba</v>
      </c>
      <c r="K79" s="108" t="str">
        <f>VLOOKUP(C79,'2x2 MIX'!$B$4:$D$28,3,)</f>
        <v>Carlo</v>
      </c>
      <c r="L79" s="108" t="str">
        <f>VLOOKUP(D79,'2x2 MIX'!$B$4:$D$28,2,)</f>
        <v>Ionut Sava</v>
      </c>
      <c r="M79" s="108" t="str">
        <f>VLOOKUP(D79,'2x2 MIX'!$B$4:$D$28,3,)</f>
        <v>Anna Jaroszuk</v>
      </c>
      <c r="N79" s="108"/>
      <c r="O79" s="108"/>
      <c r="P79" s="98"/>
      <c r="Q79" s="98"/>
      <c r="R79" s="98"/>
      <c r="S79" s="98"/>
      <c r="T79" s="98"/>
      <c r="U79" s="98"/>
    </row>
    <row r="80" spans="1:21" ht="15.75" customHeight="1">
      <c r="A80" s="105" t="str">
        <f>+'2x2 MIX'!A68</f>
        <v>2x2 Mix</v>
      </c>
      <c r="B80" s="105" t="str">
        <f>+'2x2 MIX'!B68</f>
        <v>B</v>
      </c>
      <c r="C80" s="105" t="str">
        <f>+'2x2 MIX'!C68</f>
        <v>The Lambrusco Paradox</v>
      </c>
      <c r="D80" s="105" t="str">
        <f>+'2x2 MIX'!D68</f>
        <v>Balkan Beach Ballers</v>
      </c>
      <c r="E80" s="105">
        <f>+'2x2 MIX'!E68</f>
        <v>2</v>
      </c>
      <c r="F80" s="106">
        <f>+'2x2 MIX'!F68</f>
        <v>46186</v>
      </c>
      <c r="G80" s="107">
        <f>+'2x2 MIX'!G68</f>
        <v>0.69444444444444509</v>
      </c>
      <c r="H80" s="108" t="str">
        <f>VLOOKUP(C80,'2x2 MIX'!$B$4:$E$28,4,)</f>
        <v>EUROJUST</v>
      </c>
      <c r="I80" s="108" t="str">
        <f>VLOOKUP(D80,'2x2 MIX'!$B$4:$E$28,4,)</f>
        <v>EMA</v>
      </c>
      <c r="J80" s="108" t="str">
        <f>VLOOKUP(C80,'2x2 MIX'!$B$4:$D$28,2,)</f>
        <v xml:space="preserve">Bonato Stefano </v>
      </c>
      <c r="K80" s="108" t="str">
        <f>VLOOKUP(C80,'2x2 MIX'!$B$4:$D$28,3,)</f>
        <v>Conti Lucia</v>
      </c>
      <c r="L80" s="108" t="str">
        <f>VLOOKUP(D80,'2x2 MIX'!$B$4:$D$28,2,)</f>
        <v>Mihaela Pereteatcu</v>
      </c>
      <c r="M80" s="108" t="str">
        <f>VLOOKUP(D80,'2x2 MIX'!$B$4:$D$28,3,)</f>
        <v>Evangelos Kotzagiorgis</v>
      </c>
      <c r="N80" s="108"/>
      <c r="O80" s="108"/>
      <c r="P80" s="98"/>
      <c r="Q80" s="98"/>
      <c r="R80" s="98"/>
      <c r="S80" s="98"/>
      <c r="T80" s="98"/>
      <c r="U80" s="98"/>
    </row>
    <row r="81" spans="1:21" ht="15.75" customHeight="1">
      <c r="A81" s="105" t="str">
        <f>+'2x2 MIX'!A69</f>
        <v>2x2 Mix</v>
      </c>
      <c r="B81" s="105" t="str">
        <f>+'2x2 MIX'!B69</f>
        <v>C</v>
      </c>
      <c r="C81" s="105" t="str">
        <f>+'2x2 MIX'!C69</f>
        <v>From Tokyo to The Hague</v>
      </c>
      <c r="D81" s="105" t="str">
        <f>+'2x2 MIX'!D69</f>
        <v>Mdina Defenders</v>
      </c>
      <c r="E81" s="105">
        <f>+'2x2 MIX'!E69</f>
        <v>3</v>
      </c>
      <c r="F81" s="106">
        <f>+'2x2 MIX'!F69</f>
        <v>46186</v>
      </c>
      <c r="G81" s="107">
        <f>+'2x2 MIX'!G69</f>
        <v>0.71041666666666714</v>
      </c>
      <c r="H81" s="108" t="str">
        <f>VLOOKUP(C81,'2x2 MIX'!$B$4:$E$28,4,)</f>
        <v>EUROJUST</v>
      </c>
      <c r="I81" s="108" t="str">
        <f>VLOOKUP(D81,'2x2 MIX'!$B$4:$E$28,4,)</f>
        <v>EUAA</v>
      </c>
      <c r="J81" s="108" t="str">
        <f>VLOOKUP(C81,'2x2 MIX'!$B$4:$D$28,2,)</f>
        <v>Rausch Laura</v>
      </c>
      <c r="K81" s="108" t="str">
        <f>VLOOKUP(C81,'2x2 MIX'!$B$4:$D$28,3,)</f>
        <v>Marinelli Andrea</v>
      </c>
      <c r="L81" s="108" t="str">
        <f>VLOOKUP(D81,'2x2 MIX'!$B$4:$D$28,2,)</f>
        <v>Vasileios</v>
      </c>
      <c r="M81" s="108" t="str">
        <f>VLOOKUP(D81,'2x2 MIX'!$B$4:$D$28,3,)</f>
        <v>Maria</v>
      </c>
      <c r="N81" s="108"/>
      <c r="O81" s="108"/>
      <c r="P81" s="98"/>
      <c r="Q81" s="98"/>
      <c r="R81" s="98"/>
      <c r="S81" s="98"/>
      <c r="T81" s="98"/>
      <c r="U81" s="98"/>
    </row>
    <row r="82" spans="1:21" ht="15.75" customHeight="1">
      <c r="A82" s="105" t="str">
        <f>+'2x2 MIX'!A70</f>
        <v>2x2 Mix</v>
      </c>
      <c r="B82" s="105" t="str">
        <f>+'2x2 MIX'!B70</f>
        <v>D</v>
      </c>
      <c r="C82" s="105" t="str">
        <f>+'2x2 MIX'!C70</f>
        <v>EFSA 3</v>
      </c>
      <c r="D82" s="105" t="str">
        <f>+'2x2 MIX'!D70</f>
        <v>Ftira Fellowship</v>
      </c>
      <c r="E82" s="105">
        <f>+'2x2 MIX'!E70</f>
        <v>4</v>
      </c>
      <c r="F82" s="106">
        <f>+'2x2 MIX'!F70</f>
        <v>46186</v>
      </c>
      <c r="G82" s="107">
        <f>+'2x2 MIX'!G70</f>
        <v>0.71041666666666714</v>
      </c>
      <c r="H82" s="108" t="str">
        <f>VLOOKUP(C82,'2x2 MIX'!$B$4:$E$28,4,)</f>
        <v>EFSA</v>
      </c>
      <c r="I82" s="108" t="str">
        <f>VLOOKUP(D82,'2x2 MIX'!$B$4:$E$28,4,)</f>
        <v>EUAA</v>
      </c>
      <c r="J82" s="108" t="str">
        <f>VLOOKUP(C82,'2x2 MIX'!$B$4:$D$28,2,)</f>
        <v>Marchese Emanuela</v>
      </c>
      <c r="K82" s="108" t="str">
        <f>VLOOKUP(C82,'2x2 MIX'!$B$4:$D$28,3,)</f>
        <v>Marchesini Matteo</v>
      </c>
      <c r="L82" s="108" t="str">
        <f>VLOOKUP(D82,'2x2 MIX'!$B$4:$D$28,2,)</f>
        <v>Wade</v>
      </c>
      <c r="M82" s="108" t="str">
        <f>VLOOKUP(D82,'2x2 MIX'!$B$4:$D$28,3,)</f>
        <v>Claudia</v>
      </c>
      <c r="N82" s="108"/>
      <c r="O82" s="108"/>
      <c r="P82" s="98"/>
      <c r="Q82" s="98"/>
      <c r="R82" s="98"/>
      <c r="S82" s="98"/>
      <c r="T82" s="98"/>
      <c r="U82" s="98"/>
    </row>
    <row r="83" spans="1:21" ht="15.75" customHeight="1">
      <c r="A83" s="105" t="str">
        <f>+'2x2 MIX'!A71</f>
        <v>2x2 Mix</v>
      </c>
      <c r="B83" s="105" t="str">
        <f>+'2x2 MIX'!B71</f>
        <v>E</v>
      </c>
      <c r="C83" s="105" t="str">
        <f>+'2x2 MIX'!C71</f>
        <v>EFSA 4</v>
      </c>
      <c r="D83" s="105" t="str">
        <f>+'2x2 MIX'!D71</f>
        <v>EUROPOL MIX</v>
      </c>
      <c r="E83" s="105">
        <f>+'2x2 MIX'!E71</f>
        <v>1</v>
      </c>
      <c r="F83" s="106">
        <f>+'2x2 MIX'!F71</f>
        <v>46186</v>
      </c>
      <c r="G83" s="107">
        <f>+'2x2 MIX'!G71</f>
        <v>0.71041666666666736</v>
      </c>
      <c r="H83" s="108" t="str">
        <f>VLOOKUP(C83,'2x2 MIX'!$B$4:$E$28,4,)</f>
        <v>EFSA</v>
      </c>
      <c r="I83" s="108" t="str">
        <f>VLOOKUP(D83,'2x2 MIX'!$B$4:$E$28,4,)</f>
        <v>EUROPOL</v>
      </c>
      <c r="J83" s="108" t="str">
        <f>VLOOKUP(C83,'2x2 MIX'!$B$4:$D$28,2,)</f>
        <v>Kralova Irena</v>
      </c>
      <c r="K83" s="108" t="str">
        <f>VLOOKUP(C83,'2x2 MIX'!$B$4:$D$28,3,)</f>
        <v>Ackerl Reinhard</v>
      </c>
      <c r="L83" s="108" t="str">
        <f>VLOOKUP(D83,'2x2 MIX'!$B$4:$D$28,2,)</f>
        <v>Stanciu Anca</v>
      </c>
      <c r="M83" s="108" t="str">
        <f>VLOOKUP(D83,'2x2 MIX'!$B$4:$D$28,3,)</f>
        <v>Serra Jose Manuel de Jesus</v>
      </c>
      <c r="N83" s="108"/>
      <c r="O83" s="108"/>
      <c r="P83" s="98"/>
      <c r="Q83" s="98"/>
      <c r="R83" s="98"/>
      <c r="S83" s="98"/>
      <c r="T83" s="98"/>
      <c r="U83" s="98"/>
    </row>
    <row r="84" spans="1:21" ht="15.75" customHeight="1">
      <c r="A84" s="105" t="str">
        <f>+'2x2 MIX'!A72</f>
        <v>2x2 Mix</v>
      </c>
      <c r="B84" s="105" t="str">
        <f>+'2x2 MIX'!B72</f>
        <v>F</v>
      </c>
      <c r="C84" s="105" t="str">
        <f>+'2x2 MIX'!C72</f>
        <v>EFSA 5</v>
      </c>
      <c r="D84" s="105" t="str">
        <f>+'2x2 MIX'!D72</f>
        <v>BBB</v>
      </c>
      <c r="E84" s="105">
        <f>+'2x2 MIX'!E72</f>
        <v>2</v>
      </c>
      <c r="F84" s="106">
        <f>+'2x2 MIX'!F72</f>
        <v>46186</v>
      </c>
      <c r="G84" s="107">
        <f>+'2x2 MIX'!G72</f>
        <v>0.71041666666666736</v>
      </c>
      <c r="H84" s="108" t="str">
        <f>VLOOKUP(C84,'2x2 MIX'!$B$4:$E$28,4,)</f>
        <v>EFSA</v>
      </c>
      <c r="I84" s="108" t="str">
        <f>VLOOKUP(D84,'2x2 MIX'!$B$4:$E$28,4,)</f>
        <v>REA</v>
      </c>
      <c r="J84" s="108" t="str">
        <f>VLOOKUP(C84,'2x2 MIX'!$B$4:$D$28,2,)</f>
        <v>Pecoraro Simona</v>
      </c>
      <c r="K84" s="108" t="str">
        <f>VLOOKUP(C84,'2x2 MIX'!$B$4:$D$28,3,)</f>
        <v>Ferri Alessandro</v>
      </c>
      <c r="L84" s="108" t="str">
        <f>VLOOKUP(D84,'2x2 MIX'!$B$4:$D$28,2,)</f>
        <v>Scioni Barbara</v>
      </c>
      <c r="M84" s="108" t="str">
        <f>VLOOKUP(D84,'2x2 MIX'!$B$4:$D$28,3,)</f>
        <v xml:space="preserve">Napolitano Andrea </v>
      </c>
      <c r="N84" s="108"/>
      <c r="O84" s="108"/>
      <c r="P84" s="98"/>
      <c r="Q84" s="98"/>
      <c r="R84" s="98"/>
      <c r="S84" s="98"/>
      <c r="T84" s="98"/>
      <c r="U84" s="98"/>
    </row>
    <row r="85" spans="1:21" ht="15.75" customHeight="1">
      <c r="A85" s="105" t="str">
        <f>+'2x2 MIX'!A73</f>
        <v>2x2 Mix</v>
      </c>
      <c r="B85" s="105" t="str">
        <f>+'2x2 MIX'!B73</f>
        <v>A</v>
      </c>
      <c r="C85" s="105" t="str">
        <f>+'2x2 MIX'!C73</f>
        <v>EUIPO 3</v>
      </c>
      <c r="D85" s="105" t="str">
        <f>+'2x2 MIX'!D73</f>
        <v xml:space="preserve">Ooh la la </v>
      </c>
      <c r="E85" s="105">
        <f>+'2x2 MIX'!E73</f>
        <v>1</v>
      </c>
      <c r="F85" s="106">
        <f>+'2x2 MIX'!F73</f>
        <v>46186</v>
      </c>
      <c r="G85" s="107">
        <f>+'2x2 MIX'!G73</f>
        <v>0.72638888888888964</v>
      </c>
      <c r="H85" s="108" t="str">
        <f>VLOOKUP(C85,'2x2 MIX'!$B$4:$E$28,4,)</f>
        <v>EUIPO</v>
      </c>
      <c r="I85" s="108" t="str">
        <f>VLOOKUP(D85,'2x2 MIX'!$B$4:$E$28,4,)</f>
        <v>EMA</v>
      </c>
      <c r="J85" s="108" t="str">
        <f>VLOOKUP(C85,'2x2 MIX'!$B$4:$D$28,2,)</f>
        <v>CSENKE JUDIT</v>
      </c>
      <c r="K85" s="108" t="str">
        <f>VLOOKUP(C85,'2x2 MIX'!$B$4:$D$28,3,)</f>
        <v>BILLERAULT AURELIEN</v>
      </c>
      <c r="L85" s="108" t="str">
        <f>VLOOKUP(D85,'2x2 MIX'!$B$4:$D$28,2,)</f>
        <v>Caroline Pothet</v>
      </c>
      <c r="M85" s="108" t="str">
        <f>VLOOKUP(D85,'2x2 MIX'!$B$4:$D$28,3,)</f>
        <v>Frank Pétavy</v>
      </c>
      <c r="N85" s="108"/>
      <c r="O85" s="108"/>
      <c r="P85" s="98"/>
      <c r="Q85" s="98"/>
      <c r="R85" s="98"/>
      <c r="S85" s="98"/>
      <c r="T85" s="98"/>
      <c r="U85" s="98"/>
    </row>
    <row r="86" spans="1:21" ht="15.75" customHeight="1">
      <c r="A86" s="105" t="str">
        <f>+'2x2 MIX'!A74</f>
        <v>2x2 Mix</v>
      </c>
      <c r="B86" s="105" t="str">
        <f>+'2x2 MIX'!B74</f>
        <v>B</v>
      </c>
      <c r="C86" s="105" t="str">
        <f>+'2x2 MIX'!C74</f>
        <v>EUIPO 4</v>
      </c>
      <c r="D86" s="105" t="str">
        <f>+'2x2 MIX'!D74</f>
        <v>JRC Energy dense</v>
      </c>
      <c r="E86" s="105">
        <f>+'2x2 MIX'!E74</f>
        <v>2</v>
      </c>
      <c r="F86" s="106">
        <f>+'2x2 MIX'!F74</f>
        <v>46186</v>
      </c>
      <c r="G86" s="107">
        <f>+'2x2 MIX'!G74</f>
        <v>0.72638888888888964</v>
      </c>
      <c r="H86" s="108" t="str">
        <f>VLOOKUP(C86,'2x2 MIX'!$B$4:$E$28,4,)</f>
        <v>EUIPO</v>
      </c>
      <c r="I86" s="108" t="str">
        <f>VLOOKUP(D86,'2x2 MIX'!$B$4:$E$28,4,)</f>
        <v>JRC</v>
      </c>
      <c r="J86" s="108" t="str">
        <f>VLOOKUP(C86,'2x2 MIX'!$B$4:$D$28,2,)</f>
        <v>Federica Foti</v>
      </c>
      <c r="K86" s="108" t="str">
        <f>VLOOKUP(C86,'2x2 MIX'!$B$4:$D$28,3,)</f>
        <v>CORRADO ALESSANDRO</v>
      </c>
      <c r="L86" s="108" t="str">
        <f>VLOOKUP(D86,'2x2 MIX'!$B$4:$D$28,2,)</f>
        <v>Elisa B.</v>
      </c>
      <c r="M86" s="108" t="str">
        <f>VLOOKUP(D86,'2x2 MIX'!$B$4:$D$28,3,)</f>
        <v>Flavio</v>
      </c>
      <c r="N86" s="108"/>
      <c r="O86" s="108"/>
      <c r="P86" s="98"/>
      <c r="Q86" s="98"/>
      <c r="R86" s="98"/>
      <c r="S86" s="98"/>
      <c r="T86" s="98"/>
      <c r="U86" s="98"/>
    </row>
    <row r="87" spans="1:21" ht="15.75" customHeight="1">
      <c r="A87" s="105" t="str">
        <f>+'2x2 MIX'!A75</f>
        <v>2x2 Mix</v>
      </c>
      <c r="B87" s="105" t="str">
        <f>+'2x2 MIX'!B75</f>
        <v>C</v>
      </c>
      <c r="C87" s="105" t="str">
        <f>+'2x2 MIX'!C75</f>
        <v>Copacabana</v>
      </c>
      <c r="D87" s="105" t="str">
        <f>+'2x2 MIX'!D75</f>
        <v>Gianmarcoooo</v>
      </c>
      <c r="E87" s="105">
        <f>+'2x2 MIX'!E75</f>
        <v>1</v>
      </c>
      <c r="F87" s="106">
        <f>+'2x2 MIX'!F75</f>
        <v>46186</v>
      </c>
      <c r="G87" s="107">
        <f>+'2x2 MIX'!G75</f>
        <v>0.74236111111111192</v>
      </c>
      <c r="H87" s="108" t="str">
        <f>VLOOKUP(C87,'2x2 MIX'!$B$4:$E$28,4,)</f>
        <v>FRONTEX</v>
      </c>
      <c r="I87" s="108" t="str">
        <f>VLOOKUP(D87,'2x2 MIX'!$B$4:$E$28,4,)</f>
        <v>JRC</v>
      </c>
      <c r="J87" s="108" t="str">
        <f>VLOOKUP(C87,'2x2 MIX'!$B$4:$D$28,2,)</f>
        <v>Michal Narojek</v>
      </c>
      <c r="K87" s="108" t="str">
        <f>VLOOKUP(C87,'2x2 MIX'!$B$4:$D$28,3,)</f>
        <v>Monika Ciesielska</v>
      </c>
      <c r="L87" s="108" t="str">
        <f>VLOOKUP(D87,'2x2 MIX'!$B$4:$D$28,2,)</f>
        <v>Ilaria</v>
      </c>
      <c r="M87" s="108" t="str">
        <f>VLOOKUP(D87,'2x2 MIX'!$B$4:$D$28,3,)</f>
        <v>Fabio</v>
      </c>
      <c r="N87" s="108"/>
      <c r="O87" s="108"/>
      <c r="P87" s="98"/>
      <c r="Q87" s="98"/>
      <c r="R87" s="98"/>
      <c r="S87" s="98"/>
      <c r="T87" s="98"/>
      <c r="U87" s="98"/>
    </row>
    <row r="88" spans="1:21" ht="15.75" customHeight="1">
      <c r="A88" s="105" t="str">
        <f>+'2x2 MIX'!A76</f>
        <v>2x2 Mix</v>
      </c>
      <c r="B88" s="105" t="str">
        <f>+'2x2 MIX'!B76</f>
        <v>D</v>
      </c>
      <c r="C88" s="105" t="str">
        <f>+'2x2 MIX'!C76</f>
        <v>Keto</v>
      </c>
      <c r="D88" s="105" t="str">
        <f>+'2x2 MIX'!D76</f>
        <v>Ticino e Carbonara</v>
      </c>
      <c r="E88" s="105">
        <f>+'2x2 MIX'!E76</f>
        <v>2</v>
      </c>
      <c r="F88" s="106">
        <f>+'2x2 MIX'!F76</f>
        <v>46186</v>
      </c>
      <c r="G88" s="107">
        <f>+'2x2 MIX'!G76</f>
        <v>0.74236111111111192</v>
      </c>
      <c r="H88" s="108" t="str">
        <f>VLOOKUP(C88,'2x2 MIX'!$B$4:$E$28,4,)</f>
        <v>FRONTEX</v>
      </c>
      <c r="I88" s="108" t="str">
        <f>VLOOKUP(D88,'2x2 MIX'!$B$4:$E$28,4,)</f>
        <v>JRC</v>
      </c>
      <c r="J88" s="108" t="str">
        <f>VLOOKUP(C88,'2x2 MIX'!$B$4:$D$28,2,)</f>
        <v>Georgios Dimitropoulos</v>
      </c>
      <c r="K88" s="108" t="str">
        <f>VLOOKUP(C88,'2x2 MIX'!$B$4:$D$28,3,)</f>
        <v>Evgenia Kalogeropoulou</v>
      </c>
      <c r="L88" s="108" t="str">
        <f>VLOOKUP(D88,'2x2 MIX'!$B$4:$D$28,2,)</f>
        <v>Federica C.</v>
      </c>
      <c r="M88" s="108" t="str">
        <f>VLOOKUP(D88,'2x2 MIX'!$B$4:$D$28,3,)</f>
        <v>Roberto</v>
      </c>
      <c r="N88" s="108"/>
      <c r="O88" s="108"/>
      <c r="P88" s="98"/>
      <c r="Q88" s="98"/>
      <c r="R88" s="98"/>
      <c r="S88" s="98"/>
      <c r="T88" s="98"/>
      <c r="U88" s="98"/>
    </row>
    <row r="89" spans="1:21" ht="15.75" customHeight="1">
      <c r="A89" s="105" t="str">
        <f>+'2x2 MIX'!A77</f>
        <v>2x2 Mix</v>
      </c>
      <c r="B89" s="105" t="str">
        <f>+'2x2 MIX'!B77</f>
        <v>E</v>
      </c>
      <c r="C89" s="105" t="str">
        <f>+'2x2 MIX'!C77</f>
        <v>Jellybeans</v>
      </c>
      <c r="D89" s="105" t="str">
        <f>+'2x2 MIX'!D77</f>
        <v>Sandstormers</v>
      </c>
      <c r="E89" s="105">
        <f>+'2x2 MIX'!E77</f>
        <v>1</v>
      </c>
      <c r="F89" s="106">
        <f>+'2x2 MIX'!F77</f>
        <v>46186</v>
      </c>
      <c r="G89" s="107">
        <f>+'2x2 MIX'!G77</f>
        <v>0.75833333333333419</v>
      </c>
      <c r="H89" s="108" t="str">
        <f>VLOOKUP(C89,'2x2 MIX'!$B$4:$E$28,4,)</f>
        <v>FRONTEX</v>
      </c>
      <c r="I89" s="108" t="str">
        <f>VLOOKUP(D89,'2x2 MIX'!$B$4:$E$28,4,)</f>
        <v>REA</v>
      </c>
      <c r="J89" s="108" t="str">
        <f>VLOOKUP(C89,'2x2 MIX'!$B$4:$D$28,2,)</f>
        <v>Natalia Alberska</v>
      </c>
      <c r="K89" s="108" t="str">
        <f>VLOOKUP(C89,'2x2 MIX'!$B$4:$D$28,3,)</f>
        <v>Oliver Bosnar</v>
      </c>
      <c r="L89" s="108" t="str">
        <f>VLOOKUP(D89,'2x2 MIX'!$B$4:$D$28,2,)</f>
        <v xml:space="preserve">Piiroja Ivi </v>
      </c>
      <c r="M89" s="108" t="str">
        <f>VLOOKUP(D89,'2x2 MIX'!$B$4:$D$28,3,)</f>
        <v xml:space="preserve">Paunovic Ogren </v>
      </c>
      <c r="N89" s="108"/>
      <c r="O89" s="108"/>
      <c r="P89" s="98"/>
      <c r="Q89" s="98"/>
      <c r="R89" s="98"/>
      <c r="S89" s="98"/>
      <c r="T89" s="98"/>
      <c r="U89" s="98"/>
    </row>
    <row r="90" spans="1:21" ht="15.75" customHeight="1">
      <c r="A90" s="105" t="str">
        <f>+'2x2 MIX'!A78</f>
        <v>2x2 Mix</v>
      </c>
      <c r="B90" s="105" t="str">
        <f>+'2x2 MIX'!B78</f>
        <v>F</v>
      </c>
      <c r="C90" s="105" t="str">
        <f>+'2x2 MIX'!C78</f>
        <v>Volare oooh</v>
      </c>
      <c r="D90" s="105" t="str">
        <f>+'2x2 MIX'!D78</f>
        <v>Sandbox players</v>
      </c>
      <c r="E90" s="105">
        <f>+'2x2 MIX'!E78</f>
        <v>2</v>
      </c>
      <c r="F90" s="106">
        <f>+'2x2 MIX'!F78</f>
        <v>46186</v>
      </c>
      <c r="G90" s="107">
        <f>+'2x2 MIX'!G78</f>
        <v>0.75833333333333419</v>
      </c>
      <c r="H90" s="108" t="str">
        <f>VLOOKUP(C90,'2x2 MIX'!$B$4:$E$28,4,)</f>
        <v>FRONTEX</v>
      </c>
      <c r="I90" s="108" t="str">
        <f>VLOOKUP(D90,'2x2 MIX'!$B$4:$E$28,4,)</f>
        <v>EMA</v>
      </c>
      <c r="J90" s="108" t="str">
        <f>VLOOKUP(C90,'2x2 MIX'!$B$4:$D$28,2,)</f>
        <v>Anna Sofia Messeri</v>
      </c>
      <c r="K90" s="108" t="str">
        <f>VLOOKUP(C90,'2x2 MIX'!$B$4:$D$28,3,)</f>
        <v>Mariusz Dzierżawski</v>
      </c>
      <c r="L90" s="108" t="str">
        <f>VLOOKUP(D90,'2x2 MIX'!$B$4:$D$28,2,)</f>
        <v>Valentina Cordo</v>
      </c>
      <c r="M90" s="108" t="str">
        <f>VLOOKUP(D90,'2x2 MIX'!$B$4:$D$28,3,)</f>
        <v>Thibaut Sauces</v>
      </c>
      <c r="N90" s="108"/>
      <c r="O90" s="108"/>
      <c r="P90" s="98"/>
      <c r="Q90" s="98"/>
      <c r="R90" s="98"/>
      <c r="S90" s="98"/>
      <c r="T90" s="98"/>
      <c r="U90" s="98"/>
    </row>
    <row r="91" spans="1:21" ht="15.75" customHeight="1">
      <c r="A91" s="105" t="str">
        <f>+'2x2 MIX'!A79</f>
        <v>2x2 Mix</v>
      </c>
      <c r="B91" s="105" t="str">
        <f>+'2x2 MIX'!B79</f>
        <v>A</v>
      </c>
      <c r="C91" s="105" t="str">
        <f>+'2x2 MIX'!C79</f>
        <v>Paddington</v>
      </c>
      <c r="D91" s="105" t="str">
        <f>+'2x2 MIX'!D79</f>
        <v>Se non spigoli non vale</v>
      </c>
      <c r="E91" s="105">
        <f>+'2x2 MIX'!E79</f>
        <v>1</v>
      </c>
      <c r="F91" s="106">
        <f>+'2x2 MIX'!F79</f>
        <v>46186</v>
      </c>
      <c r="G91" s="107">
        <f>+'2x2 MIX'!G79</f>
        <v>0.77430555555555647</v>
      </c>
      <c r="H91" s="108" t="str">
        <f>VLOOKUP(C91,'2x2 MIX'!$B$4:$E$28,4,)</f>
        <v>EUROJUST</v>
      </c>
      <c r="I91" s="108" t="str">
        <f>VLOOKUP(D91,'2x2 MIX'!$B$4:$E$28,4,)</f>
        <v>JRC</v>
      </c>
      <c r="J91" s="108" t="str">
        <f>VLOOKUP(C91,'2x2 MIX'!$B$4:$D$28,2,)</f>
        <v>Seixas Joao</v>
      </c>
      <c r="K91" s="108" t="str">
        <f>VLOOKUP(C91,'2x2 MIX'!$B$4:$D$28,3,)</f>
        <v>Klayn Aglika</v>
      </c>
      <c r="L91" s="108" t="str">
        <f>VLOOKUP(D91,'2x2 MIX'!$B$4:$D$28,2,)</f>
        <v>Boba</v>
      </c>
      <c r="M91" s="108" t="str">
        <f>VLOOKUP(D91,'2x2 MIX'!$B$4:$D$28,3,)</f>
        <v>Carlo</v>
      </c>
      <c r="N91" s="108"/>
      <c r="O91" s="108"/>
      <c r="P91" s="98"/>
      <c r="Q91" s="98"/>
      <c r="R91" s="98"/>
      <c r="S91" s="98"/>
      <c r="T91" s="98"/>
      <c r="U91" s="98"/>
    </row>
    <row r="92" spans="1:21" ht="15.75" customHeight="1">
      <c r="A92" s="105" t="str">
        <f>+'2x2 MIX'!A80</f>
        <v>2x2 Mix</v>
      </c>
      <c r="B92" s="105" t="str">
        <f>+'2x2 MIX'!B80</f>
        <v>A</v>
      </c>
      <c r="C92" s="105" t="str">
        <f>+'2x2 MIX'!C80</f>
        <v xml:space="preserve">Ooh la la </v>
      </c>
      <c r="D92" s="105" t="str">
        <f>+'2x2 MIX'!D80</f>
        <v>ECDC</v>
      </c>
      <c r="E92" s="105">
        <f>+'2x2 MIX'!E80</f>
        <v>2</v>
      </c>
      <c r="F92" s="106">
        <f>+'2x2 MIX'!F80</f>
        <v>46186</v>
      </c>
      <c r="G92" s="107">
        <f>+'2x2 MIX'!G80</f>
        <v>0.77430555555555647</v>
      </c>
      <c r="H92" s="108" t="str">
        <f>VLOOKUP(C92,'2x2 MIX'!$B$4:$E$28,4,)</f>
        <v>EMA</v>
      </c>
      <c r="I92" s="108" t="str">
        <f>VLOOKUP(D92,'2x2 MIX'!$B$4:$E$28,4,)</f>
        <v>ECDC</v>
      </c>
      <c r="J92" s="108" t="str">
        <f>VLOOKUP(C92,'2x2 MIX'!$B$4:$D$28,2,)</f>
        <v>Caroline Pothet</v>
      </c>
      <c r="K92" s="108" t="str">
        <f>VLOOKUP(C92,'2x2 MIX'!$B$4:$D$28,3,)</f>
        <v>Frank Pétavy</v>
      </c>
      <c r="L92" s="108" t="str">
        <f>VLOOKUP(D92,'2x2 MIX'!$B$4:$D$28,2,)</f>
        <v>Ionut Sava</v>
      </c>
      <c r="M92" s="108" t="str">
        <f>VLOOKUP(D92,'2x2 MIX'!$B$4:$D$28,3,)</f>
        <v>Anna Jaroszuk</v>
      </c>
      <c r="N92" s="108"/>
      <c r="O92" s="108"/>
      <c r="P92" s="98"/>
      <c r="Q92" s="98"/>
      <c r="R92" s="98"/>
      <c r="S92" s="98"/>
      <c r="T92" s="98"/>
      <c r="U92" s="98"/>
    </row>
    <row r="93" spans="1:21" ht="15.75" customHeight="1">
      <c r="A93" s="105" t="str">
        <f>+'2x2 MIX'!A81</f>
        <v>2x2 Mix</v>
      </c>
      <c r="B93" s="105" t="str">
        <f>+'2x2 MIX'!B81</f>
        <v>A</v>
      </c>
      <c r="C93" s="105" t="str">
        <f>+'2x2 MIX'!C81</f>
        <v>Se non spigoli non vale</v>
      </c>
      <c r="D93" s="105" t="str">
        <f>+'2x2 MIX'!D81</f>
        <v>EUIPO 3</v>
      </c>
      <c r="E93" s="105">
        <f>+'2x2 MIX'!E81</f>
        <v>1</v>
      </c>
      <c r="F93" s="106">
        <f>+'2x2 MIX'!F81</f>
        <v>46186</v>
      </c>
      <c r="G93" s="107">
        <f>+'2x2 MIX'!G81</f>
        <v>0.79027777777777874</v>
      </c>
      <c r="H93" s="108" t="str">
        <f>VLOOKUP(C93,'2x2 MIX'!$B$4:$E$28,4,)</f>
        <v>JRC</v>
      </c>
      <c r="I93" s="108" t="str">
        <f>VLOOKUP(D93,'2x2 MIX'!$B$4:$E$28,4,)</f>
        <v>EUIPO</v>
      </c>
      <c r="J93" s="108" t="str">
        <f>VLOOKUP(C93,'2x2 MIX'!$B$4:$D$28,2,)</f>
        <v>Boba</v>
      </c>
      <c r="K93" s="108" t="str">
        <f>VLOOKUP(C93,'2x2 MIX'!$B$4:$D$28,3,)</f>
        <v>Carlo</v>
      </c>
      <c r="L93" s="108" t="str">
        <f>VLOOKUP(D93,'2x2 MIX'!$B$4:$D$28,2,)</f>
        <v>CSENKE JUDIT</v>
      </c>
      <c r="M93" s="108" t="str">
        <f>VLOOKUP(D93,'2x2 MIX'!$B$4:$D$28,3,)</f>
        <v>BILLERAULT AURELIEN</v>
      </c>
      <c r="N93" s="108"/>
      <c r="O93" s="108"/>
      <c r="P93" s="98"/>
      <c r="Q93" s="98"/>
      <c r="R93" s="98"/>
      <c r="S93" s="98"/>
      <c r="T93" s="98"/>
      <c r="U93" s="98"/>
    </row>
    <row r="94" spans="1:21" ht="15.75" customHeight="1">
      <c r="A94" s="105" t="str">
        <f>+'2x2 MIX'!A82</f>
        <v>2x2 Mix</v>
      </c>
      <c r="B94" s="105" t="str">
        <f>+'2x2 MIX'!B82</f>
        <v>A</v>
      </c>
      <c r="C94" s="105" t="str">
        <f>+'2x2 MIX'!C82</f>
        <v>Paddington</v>
      </c>
      <c r="D94" s="105" t="str">
        <f>+'2x2 MIX'!D82</f>
        <v>ECDC</v>
      </c>
      <c r="E94" s="105">
        <f>+'2x2 MIX'!E82</f>
        <v>2</v>
      </c>
      <c r="F94" s="106">
        <f>+'2x2 MIX'!F82</f>
        <v>46186</v>
      </c>
      <c r="G94" s="107">
        <f>+'2x2 MIX'!G82</f>
        <v>0.79027777777777874</v>
      </c>
      <c r="H94" s="108" t="str">
        <f>VLOOKUP(C94,'2x2 MIX'!$B$4:$E$28,4,)</f>
        <v>EUROJUST</v>
      </c>
      <c r="I94" s="108" t="str">
        <f>VLOOKUP(D94,'2x2 MIX'!$B$4:$E$28,4,)</f>
        <v>ECDC</v>
      </c>
      <c r="J94" s="108" t="str">
        <f>VLOOKUP(C94,'2x2 MIX'!$B$4:$D$28,2,)</f>
        <v>Seixas Joao</v>
      </c>
      <c r="K94" s="108" t="str">
        <f>VLOOKUP(C94,'2x2 MIX'!$B$4:$D$28,3,)</f>
        <v>Klayn Aglika</v>
      </c>
      <c r="L94" s="108" t="str">
        <f>VLOOKUP(D94,'2x2 MIX'!$B$4:$D$28,2,)</f>
        <v>Ionut Sava</v>
      </c>
      <c r="M94" s="108" t="str">
        <f>VLOOKUP(D94,'2x2 MIX'!$B$4:$D$28,3,)</f>
        <v>Anna Jaroszuk</v>
      </c>
      <c r="N94" s="108"/>
      <c r="O94" s="108"/>
      <c r="P94" s="98"/>
      <c r="Q94" s="98"/>
      <c r="R94" s="98"/>
      <c r="S94" s="98"/>
      <c r="T94" s="98"/>
      <c r="U94" s="98"/>
    </row>
    <row r="95" spans="1:21" ht="15.75" customHeight="1">
      <c r="A95" s="105" t="str">
        <f>+'2x2 MIX'!A83</f>
        <v>2x2 Mix</v>
      </c>
      <c r="B95" s="105" t="str">
        <f>+'2x2 MIX'!B83</f>
        <v>Playoffs</v>
      </c>
      <c r="C95" s="105" t="str">
        <f>+'2x2 MIX'!C83</f>
        <v>Group winner
6th best ranked team</v>
      </c>
      <c r="D95" s="105" t="str">
        <f>+'2x2 MIX'!D83</f>
        <v>Group winner
3rd best ranked team</v>
      </c>
      <c r="E95" s="105">
        <f>+'2x2 MIX'!E83</f>
        <v>1</v>
      </c>
      <c r="F95" s="106">
        <f>+'2x2 MIX'!F83</f>
        <v>46186</v>
      </c>
      <c r="G95" s="107">
        <f>+'2x2 MIX'!G83</f>
        <v>0.80625000000000102</v>
      </c>
      <c r="H95" s="107"/>
      <c r="I95" s="107"/>
      <c r="J95" s="130"/>
      <c r="K95" s="130"/>
      <c r="L95" s="130"/>
      <c r="M95" s="130"/>
      <c r="N95" s="130"/>
      <c r="O95" s="130"/>
      <c r="P95" s="98"/>
      <c r="Q95" s="98"/>
      <c r="R95" s="98"/>
      <c r="S95" s="98"/>
      <c r="T95" s="98"/>
      <c r="U95" s="98"/>
    </row>
    <row r="96" spans="1:21" ht="15.75" customHeight="1">
      <c r="A96" s="105" t="str">
        <f>+'2x2 MIX'!A84</f>
        <v>2x2 Mix</v>
      </c>
      <c r="B96" s="105" t="str">
        <f>+'2x2 MIX'!B84</f>
        <v>Playoffs</v>
      </c>
      <c r="C96" s="105" t="str">
        <f>+'2x2 MIX'!C84</f>
        <v>Group winner
4th best ranked team</v>
      </c>
      <c r="D96" s="105" t="str">
        <f>+'2x2 MIX'!D84</f>
        <v>Group winner
5th best ranked team</v>
      </c>
      <c r="E96" s="105">
        <f>+'2x2 MIX'!E84</f>
        <v>2</v>
      </c>
      <c r="F96" s="106">
        <f>+'2x2 MIX'!F84</f>
        <v>46186</v>
      </c>
      <c r="G96" s="107">
        <f>+'2x2 MIX'!G84</f>
        <v>0.80625000000000102</v>
      </c>
      <c r="H96" s="107"/>
      <c r="I96" s="107"/>
      <c r="J96" s="130"/>
      <c r="K96" s="130"/>
      <c r="L96" s="130"/>
      <c r="M96" s="130"/>
      <c r="N96" s="130"/>
      <c r="O96" s="130"/>
      <c r="P96" s="98"/>
      <c r="Q96" s="98"/>
      <c r="R96" s="98"/>
      <c r="S96" s="98"/>
      <c r="T96" s="98"/>
      <c r="U96" s="98"/>
    </row>
    <row r="97" spans="1:1" ht="15.75" customHeight="1"/>
    <row r="98" spans="1:1" ht="15.75" customHeight="1"/>
    <row r="99" spans="1:1" ht="15.75" customHeight="1"/>
    <row r="100" spans="1:1" ht="15.75" customHeight="1"/>
    <row r="101" spans="1:1" ht="15.75" customHeight="1">
      <c r="A101" s="94" t="e" cm="1">
        <f t="array" ref="A101">_xlfn._xlws.FILTER(A2:U96,(H1:H96=$G$1)+(I5:I96=$G$1))</f>
        <v>#VALUE!</v>
      </c>
    </row>
    <row r="102" spans="1:1" ht="15.75" customHeight="1"/>
    <row r="103" spans="1:1" ht="15.75" customHeight="1"/>
    <row r="104" spans="1:1" ht="15.75" customHeight="1"/>
    <row r="105" spans="1:1" ht="15.75" customHeight="1"/>
    <row r="106" spans="1:1" ht="15.75" customHeight="1"/>
    <row r="107" spans="1:1" ht="15.75" customHeight="1"/>
    <row r="108" spans="1:1" ht="15.75" customHeight="1"/>
    <row r="109" spans="1:1" ht="15.75" customHeight="1"/>
    <row r="110" spans="1:1" ht="15.75" customHeight="1"/>
    <row r="111" spans="1:1" ht="15.75" customHeight="1"/>
    <row r="112" spans="1: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autoFilter ref="A1:X1006" xr:uid="{00000000-0001-0000-0500-000000000000}"/>
  <mergeCells count="2">
    <mergeCell ref="P3:S3"/>
    <mergeCell ref="J3:O3"/>
  </mergeCells>
  <phoneticPr fontId="15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F0AFD-A4AA-4A18-A761-0A92F67631CD}">
  <dimension ref="A2:P14"/>
  <sheetViews>
    <sheetView tabSelected="1" workbookViewId="0">
      <selection activeCell="G19" sqref="G19"/>
    </sheetView>
  </sheetViews>
  <sheetFormatPr defaultRowHeight="15"/>
  <cols>
    <col min="3" max="3" width="11.5703125" bestFit="1" customWidth="1"/>
    <col min="5" max="5" width="19.42578125" bestFit="1" customWidth="1"/>
    <col min="6" max="6" width="23.28515625" bestFit="1" customWidth="1"/>
    <col min="8" max="8" width="10.42578125" style="164" bestFit="1" customWidth="1"/>
    <col min="9" max="9" width="12" style="83" bestFit="1" customWidth="1"/>
    <col min="10" max="11" width="9.85546875" bestFit="1" customWidth="1"/>
    <col min="16" max="16" width="11.5703125" customWidth="1"/>
  </cols>
  <sheetData>
    <row r="2" spans="1:16" ht="24">
      <c r="A2" s="174" t="s">
        <v>246</v>
      </c>
      <c r="B2" s="174"/>
      <c r="C2" s="174" t="s">
        <v>137</v>
      </c>
    </row>
    <row r="3" spans="1:16" s="88" customFormat="1">
      <c r="H3" s="164"/>
      <c r="I3" s="83"/>
    </row>
    <row r="4" spans="1:16">
      <c r="C4" s="165" t="s">
        <v>248</v>
      </c>
      <c r="D4" s="165" t="s">
        <v>49</v>
      </c>
      <c r="E4" s="165" t="s">
        <v>170</v>
      </c>
      <c r="F4" s="165" t="s">
        <v>171</v>
      </c>
      <c r="G4" s="165" t="s">
        <v>52</v>
      </c>
      <c r="H4" s="166" t="s">
        <v>53</v>
      </c>
      <c r="I4" s="167" t="s">
        <v>54</v>
      </c>
      <c r="P4" t="str" cm="1">
        <f t="array" ref="P4:P13">_xlfn._xlws.SORT(_xlfn.UNIQUE(_xlfn.TOCOL(Global!H5:I96,1,1)))</f>
        <v>ECDC</v>
      </c>
    </row>
    <row r="5" spans="1:16">
      <c r="C5" t="str" cm="1">
        <f t="array" ref="C5:I14">_xlfn._xlws.FILTER(Global!A5:G96,(Global!H5:H96=C2)+(Global!I5:I96=C2))</f>
        <v>4x4Mix</v>
      </c>
      <c r="D5" t="str">
        <v>B</v>
      </c>
      <c r="E5" t="str">
        <v>House of Medici</v>
      </c>
      <c r="F5" t="str">
        <v>REALL</v>
      </c>
      <c r="G5">
        <v>1</v>
      </c>
      <c r="H5" s="164">
        <v>46186</v>
      </c>
      <c r="I5" s="83">
        <v>0.39097222222222222</v>
      </c>
      <c r="P5" t="str">
        <v>EFSA</v>
      </c>
    </row>
    <row r="6" spans="1:16">
      <c r="C6" t="str">
        <v>4x4Mix</v>
      </c>
      <c r="D6" t="str">
        <v>A</v>
      </c>
      <c r="E6" t="str">
        <v>EFSA 6</v>
      </c>
      <c r="F6" t="str">
        <v>Horizon setters</v>
      </c>
      <c r="G6">
        <v>2</v>
      </c>
      <c r="H6" s="164">
        <v>46186</v>
      </c>
      <c r="I6" s="83">
        <v>0.39097222222222222</v>
      </c>
      <c r="P6" t="str">
        <v>EMA</v>
      </c>
    </row>
    <row r="7" spans="1:16">
      <c r="C7" t="str">
        <v>4x4Mix</v>
      </c>
      <c r="D7" t="str">
        <v>B</v>
      </c>
      <c r="E7" t="str">
        <v>Dandy Dandelions</v>
      </c>
      <c r="F7" t="str">
        <v>REALL</v>
      </c>
      <c r="G7">
        <v>2</v>
      </c>
      <c r="H7" s="164">
        <v>46186</v>
      </c>
      <c r="I7" s="83">
        <v>0.40694444444444444</v>
      </c>
      <c r="P7" t="str">
        <v>EUAA</v>
      </c>
    </row>
    <row r="8" spans="1:16">
      <c r="C8" t="str">
        <v>4x4Mix</v>
      </c>
      <c r="D8" t="str">
        <v>A</v>
      </c>
      <c r="E8" t="str">
        <v>EUIPO 5</v>
      </c>
      <c r="F8" t="str">
        <v>Horizon setters</v>
      </c>
      <c r="G8">
        <v>3</v>
      </c>
      <c r="H8" s="164">
        <v>46186</v>
      </c>
      <c r="I8" s="83">
        <v>0.42291666666666666</v>
      </c>
      <c r="P8" t="str">
        <v>EUIPO</v>
      </c>
    </row>
    <row r="9" spans="1:16">
      <c r="C9" t="str">
        <v>2x2 Mix</v>
      </c>
      <c r="D9" t="str">
        <v>E</v>
      </c>
      <c r="E9" t="str">
        <v>EUROPOL MIX</v>
      </c>
      <c r="F9" t="str">
        <v>Sandstormers</v>
      </c>
      <c r="G9">
        <v>3</v>
      </c>
      <c r="H9" s="164">
        <v>46186</v>
      </c>
      <c r="I9" s="83">
        <v>0.64652777777777803</v>
      </c>
      <c r="P9" t="str">
        <v>EUROJUST</v>
      </c>
    </row>
    <row r="10" spans="1:16">
      <c r="C10" t="str">
        <v>2x2 Mix</v>
      </c>
      <c r="D10" t="str">
        <v>F</v>
      </c>
      <c r="E10" t="str">
        <v>BBB</v>
      </c>
      <c r="F10" t="str">
        <v>Sandbox players</v>
      </c>
      <c r="G10">
        <v>4</v>
      </c>
      <c r="H10" s="164">
        <v>46186</v>
      </c>
      <c r="I10" s="83">
        <v>0.64652777777777803</v>
      </c>
      <c r="P10" t="str">
        <v>EUROPOL</v>
      </c>
    </row>
    <row r="11" spans="1:16">
      <c r="C11" t="str">
        <v>2x2 Mix</v>
      </c>
      <c r="D11" t="str">
        <v>F</v>
      </c>
      <c r="E11" t="str">
        <v>Volare oooh</v>
      </c>
      <c r="F11" t="str">
        <v>BBB</v>
      </c>
      <c r="G11">
        <v>2</v>
      </c>
      <c r="H11" s="164">
        <v>46186</v>
      </c>
      <c r="I11" s="83">
        <v>0.66250000000000053</v>
      </c>
      <c r="P11" t="str">
        <v>FRONTEX</v>
      </c>
    </row>
    <row r="12" spans="1:16">
      <c r="C12" t="str">
        <v>2x2 Mix</v>
      </c>
      <c r="D12" t="str">
        <v>E</v>
      </c>
      <c r="E12" t="str">
        <v>EFSA 4</v>
      </c>
      <c r="F12" t="str">
        <v>Sandstormers</v>
      </c>
      <c r="G12">
        <v>3</v>
      </c>
      <c r="H12" s="164">
        <v>46186</v>
      </c>
      <c r="I12" s="83">
        <v>0.69444444444444486</v>
      </c>
      <c r="P12" t="str">
        <v>JRC</v>
      </c>
    </row>
    <row r="13" spans="1:16">
      <c r="C13" t="str">
        <v>2x2 Mix</v>
      </c>
      <c r="D13" t="str">
        <v>F</v>
      </c>
      <c r="E13" t="str">
        <v>EFSA 5</v>
      </c>
      <c r="F13" t="str">
        <v>BBB</v>
      </c>
      <c r="G13">
        <v>2</v>
      </c>
      <c r="H13" s="164">
        <v>46186</v>
      </c>
      <c r="I13" s="83">
        <v>0.71041666666666736</v>
      </c>
      <c r="P13" t="str">
        <v>REA</v>
      </c>
    </row>
    <row r="14" spans="1:16">
      <c r="C14" t="str">
        <v>2x2 Mix</v>
      </c>
      <c r="D14" t="str">
        <v>E</v>
      </c>
      <c r="E14" t="str">
        <v>Jellybeans</v>
      </c>
      <c r="F14" t="str">
        <v>Sandstormers</v>
      </c>
      <c r="G14">
        <v>1</v>
      </c>
      <c r="H14" s="164">
        <v>46186</v>
      </c>
      <c r="I14" s="83">
        <v>0.75833333333333419</v>
      </c>
    </row>
  </sheetData>
  <dataValidations count="1">
    <dataValidation type="list" allowBlank="1" showInputMessage="1" showErrorMessage="1" sqref="C2" xr:uid="{AD987D2D-8DE5-4E33-AC17-CCB6105B7F17}">
      <formula1>$P$4:$P$14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B975-6EAA-4787-86E5-5F3CA8D51D82}">
  <dimension ref="A2:AD122"/>
  <sheetViews>
    <sheetView zoomScale="70" zoomScaleNormal="70" workbookViewId="0">
      <selection activeCell="M72" sqref="M72"/>
    </sheetView>
  </sheetViews>
  <sheetFormatPr defaultRowHeight="15"/>
  <cols>
    <col min="1" max="1" width="31" customWidth="1"/>
    <col min="2" max="2" width="21.140625" bestFit="1" customWidth="1"/>
    <col min="3" max="3" width="13" customWidth="1"/>
    <col min="4" max="4" width="12.5703125" customWidth="1"/>
    <col min="6" max="6" width="12" customWidth="1"/>
    <col min="7" max="7" width="13.42578125" customWidth="1"/>
    <col min="9" max="9" width="17.5703125" customWidth="1"/>
    <col min="11" max="11" width="17.85546875" customWidth="1"/>
    <col min="12" max="12" width="21.140625" bestFit="1" customWidth="1"/>
    <col min="13" max="13" width="11" bestFit="1" customWidth="1"/>
    <col min="14" max="14" width="17.42578125" bestFit="1" customWidth="1"/>
    <col min="15" max="15" width="11.5703125" bestFit="1" customWidth="1"/>
    <col min="16" max="16" width="16" bestFit="1" customWidth="1"/>
    <col min="17" max="17" width="17.7109375" bestFit="1" customWidth="1"/>
    <col min="18" max="18" width="11" bestFit="1" customWidth="1"/>
    <col min="19" max="19" width="23.140625" bestFit="1" customWidth="1"/>
    <col min="21" max="21" width="24.5703125" bestFit="1" customWidth="1"/>
    <col min="22" max="22" width="14" bestFit="1" customWidth="1"/>
    <col min="23" max="23" width="11" bestFit="1" customWidth="1"/>
    <col min="24" max="24" width="17.42578125" bestFit="1" customWidth="1"/>
    <col min="25" max="25" width="11.5703125" bestFit="1" customWidth="1"/>
    <col min="26" max="26" width="16" bestFit="1" customWidth="1"/>
    <col min="27" max="27" width="17.7109375" bestFit="1" customWidth="1"/>
    <col min="28" max="28" width="11" bestFit="1" customWidth="1"/>
    <col min="29" max="29" width="23.140625" bestFit="1" customWidth="1"/>
    <col min="31" max="31" width="28.85546875" bestFit="1" customWidth="1"/>
    <col min="32" max="32" width="14" bestFit="1" customWidth="1"/>
    <col min="33" max="33" width="11" bestFit="1" customWidth="1"/>
    <col min="34" max="34" width="17.42578125" bestFit="1" customWidth="1"/>
    <col min="35" max="35" width="11.5703125" bestFit="1" customWidth="1"/>
    <col min="36" max="36" width="16" bestFit="1" customWidth="1"/>
    <col min="37" max="37" width="17.7109375" bestFit="1" customWidth="1"/>
    <col min="38" max="38" width="11" bestFit="1" customWidth="1"/>
    <col min="39" max="39" width="23.140625" bestFit="1" customWidth="1"/>
  </cols>
  <sheetData>
    <row r="2" spans="1:9" ht="24">
      <c r="A2" s="26" t="s">
        <v>106</v>
      </c>
    </row>
    <row r="4" spans="1:9">
      <c r="A4" s="29" t="s">
        <v>191</v>
      </c>
      <c r="B4" s="30" t="s">
        <v>186</v>
      </c>
      <c r="C4" s="30" t="s">
        <v>197</v>
      </c>
      <c r="D4" s="30" t="s">
        <v>187</v>
      </c>
      <c r="E4" s="30" t="s">
        <v>198</v>
      </c>
      <c r="F4" s="30" t="s">
        <v>188</v>
      </c>
      <c r="G4" s="30" t="s">
        <v>189</v>
      </c>
      <c r="H4" s="30" t="s">
        <v>185</v>
      </c>
      <c r="I4" s="31" t="s">
        <v>190</v>
      </c>
    </row>
    <row r="5" spans="1:9">
      <c r="A5" s="27" t="str">
        <f>+'2x2 MIX'!A34</f>
        <v>EUIPO 3</v>
      </c>
      <c r="B5" s="24" cm="1">
        <f t="array" ref="B5">SUMPRODUCT(--('2x2 MIX'!C$43:C$82 = Standings!A5),--('2x2 MIX'!I$43:I$82&lt;&gt;""))+SUMPRODUCT(--('2x2 MIX'!D$43:D$82 = Standings!A5),--('2x2 MIX'!I$43:I$82&lt;&gt;""))</f>
        <v>0</v>
      </c>
      <c r="C5" s="24" cm="1">
        <f t="array" ref="C5">SUMPRODUCT(--('2x2 MIX'!C$43:C$82 = Standings!A5),--('2x2 MIX'!I$43:I$82&gt;'2x2 MIX'!J$43:J$82))+SUMPRODUCT(--('2x2 MIX'!D$43:D$82 = Standings!A5),--('2x2 MIX'!I$43:I$82&lt;'2x2 MIX'!J$43:J$82))</f>
        <v>0</v>
      </c>
      <c r="D5" s="24">
        <f>+B5-C5-E5</f>
        <v>0</v>
      </c>
      <c r="E5" s="24" cm="1">
        <f t="array" ref="E5">SUMPRODUCT(--('2x2 MIX'!C$43:C$82 = Standings!A5),--('2x2 MIX'!I$43:I$82&lt;'2x2 MIX'!J$43:J$82))+SUMPRODUCT(--('2x2 MIX'!D$43:D$82 = Standings!A5),--('2x2 MIX'!I$43:I$82&gt;'2x2 MIX'!J$43:J$82))</f>
        <v>0</v>
      </c>
      <c r="F5" s="24">
        <f>+SUMIFS('2x2 MIX'!I$43:J$82,'2x2 MIX'!C$43:D$82,Standings!A5)</f>
        <v>0</v>
      </c>
      <c r="G5" s="24" cm="1">
        <f t="array" ref="G5">SUMPRODUCT(--('2x2 MIX'!C$43:C$82=Standings!A5),'2x2 MIX'!J$43:J$82)+SUMPRODUCT(--('2x2 MIX'!D$43:D$82=Standings!A5),'2x2 MIX'!I$43:I$82)</f>
        <v>0</v>
      </c>
      <c r="H5" s="24">
        <f t="shared" ref="H5:H9" si="0">0.75*(C5*2+D5*1)</f>
        <v>0</v>
      </c>
      <c r="I5" s="28" t="e">
        <f>+F5/G5</f>
        <v>#DIV/0!</v>
      </c>
    </row>
    <row r="6" spans="1:9">
      <c r="A6" s="27" t="str">
        <f>+'2x2 MIX'!A35</f>
        <v>Paddington</v>
      </c>
      <c r="B6" s="24" cm="1">
        <f t="array" ref="B6">SUMPRODUCT(--('2x2 MIX'!C$43:C$82 = Standings!A6),--('2x2 MIX'!I$43:I$82&lt;&gt;""))+SUMPRODUCT(--('2x2 MIX'!D$43:D$82 = Standings!A6),--('2x2 MIX'!I$43:I$82&lt;&gt;""))</f>
        <v>0</v>
      </c>
      <c r="C6" s="24" cm="1">
        <f t="array" ref="C6">SUMPRODUCT(--('2x2 MIX'!C$43:C$82 = Standings!A6),--('2x2 MIX'!I$43:I$82&gt;'2x2 MIX'!J$43:J$82))+SUMPRODUCT(--('2x2 MIX'!D$43:D$82 = Standings!A6),--('2x2 MIX'!I$43:I$82&lt;'2x2 MIX'!J$43:J$82))</f>
        <v>0</v>
      </c>
      <c r="D6" s="24">
        <f t="shared" ref="D6:D9" si="1">+B6-C6-E6</f>
        <v>0</v>
      </c>
      <c r="E6" s="24" cm="1">
        <f t="array" ref="E6">SUMPRODUCT(--('2x2 MIX'!C$43:C$82 = Standings!A6),--('2x2 MIX'!I$43:I$82&lt;'2x2 MIX'!J$43:J$82))+SUMPRODUCT(--('2x2 MIX'!D$43:D$82 = Standings!A6),--('2x2 MIX'!I$43:I$82&gt;'2x2 MIX'!J$43:J$82))</f>
        <v>0</v>
      </c>
      <c r="F6" s="24">
        <f>+SUMIFS('2x2 MIX'!I$43:J$82,'2x2 MIX'!C$43:D$82,Standings!A6)</f>
        <v>0</v>
      </c>
      <c r="G6" s="24" cm="1">
        <f t="array" ref="G6">SUMPRODUCT(--('2x2 MIX'!C$43:C$82=Standings!A6),'2x2 MIX'!J$43:J$82)+SUMPRODUCT(--('2x2 MIX'!D$43:D$82=Standings!A6),'2x2 MIX'!I$43:I$82)</f>
        <v>0</v>
      </c>
      <c r="H6" s="24">
        <f t="shared" si="0"/>
        <v>0</v>
      </c>
      <c r="I6" s="28" t="e">
        <f t="shared" ref="I6:I9" si="2">+F6/G6</f>
        <v>#DIV/0!</v>
      </c>
    </row>
    <row r="7" spans="1:9">
      <c r="A7" s="27" t="str">
        <f>+'2x2 MIX'!A36</f>
        <v xml:space="preserve">Ooh la la </v>
      </c>
      <c r="B7" s="24" cm="1">
        <f t="array" ref="B7">SUMPRODUCT(--('2x2 MIX'!C$43:C$82 = Standings!A7),--('2x2 MIX'!I$43:I$82&lt;&gt;""))+SUMPRODUCT(--('2x2 MIX'!D$43:D$82 = Standings!A7),--('2x2 MIX'!I$43:I$82&lt;&gt;""))</f>
        <v>0</v>
      </c>
      <c r="C7" s="24" cm="1">
        <f t="array" ref="C7">SUMPRODUCT(--('2x2 MIX'!C$43:C$82 = Standings!A7),--('2x2 MIX'!I$43:I$82&gt;'2x2 MIX'!J$43:J$82))+SUMPRODUCT(--('2x2 MIX'!D$43:D$82 = Standings!A7),--('2x2 MIX'!I$43:I$82&lt;'2x2 MIX'!J$43:J$82))</f>
        <v>0</v>
      </c>
      <c r="D7" s="24">
        <f t="shared" si="1"/>
        <v>0</v>
      </c>
      <c r="E7" s="24" cm="1">
        <f t="array" ref="E7">SUMPRODUCT(--('2x2 MIX'!C$43:C$82 = Standings!A7),--('2x2 MIX'!I$43:I$82&lt;'2x2 MIX'!J$43:J$82))+SUMPRODUCT(--('2x2 MIX'!D$43:D$82 = Standings!A7),--('2x2 MIX'!I$43:I$82&gt;'2x2 MIX'!J$43:J$82))</f>
        <v>0</v>
      </c>
      <c r="F7" s="24">
        <f>+SUMIFS('2x2 MIX'!I$43:J$82,'2x2 MIX'!C$43:D$82,Standings!A7)</f>
        <v>0</v>
      </c>
      <c r="G7" s="24" cm="1">
        <f t="array" ref="G7">SUMPRODUCT(--('2x2 MIX'!C$43:C$82=Standings!A7),'2x2 MIX'!J$43:J$82)+SUMPRODUCT(--('2x2 MIX'!D$43:D$82=Standings!A7),'2x2 MIX'!I$43:I$82)</f>
        <v>0</v>
      </c>
      <c r="H7" s="24">
        <f t="shared" si="0"/>
        <v>0</v>
      </c>
      <c r="I7" s="28" t="e">
        <f t="shared" si="2"/>
        <v>#DIV/0!</v>
      </c>
    </row>
    <row r="8" spans="1:9">
      <c r="A8" s="27" t="str">
        <f>+'2x2 MIX'!A37</f>
        <v>Se non spigoli non vale</v>
      </c>
      <c r="B8" s="24" cm="1">
        <f t="array" ref="B8">SUMPRODUCT(--('2x2 MIX'!C$43:C$82 = Standings!A8),--('2x2 MIX'!I$43:I$82&lt;&gt;""))+SUMPRODUCT(--('2x2 MIX'!D$43:D$82 = Standings!A8),--('2x2 MIX'!I$43:I$82&lt;&gt;""))</f>
        <v>0</v>
      </c>
      <c r="C8" s="24" cm="1">
        <f t="array" ref="C8">SUMPRODUCT(--('2x2 MIX'!C$43:C$82 = Standings!A8),--('2x2 MIX'!I$43:I$82&gt;'2x2 MIX'!J$43:J$82))+SUMPRODUCT(--('2x2 MIX'!D$43:D$82 = Standings!A8),--('2x2 MIX'!I$43:I$82&lt;'2x2 MIX'!J$43:J$82))</f>
        <v>0</v>
      </c>
      <c r="D8" s="24">
        <f t="shared" si="1"/>
        <v>0</v>
      </c>
      <c r="E8" s="24" cm="1">
        <f t="array" ref="E8">SUMPRODUCT(--('2x2 MIX'!C$43:C$82 = Standings!A8),--('2x2 MIX'!I$43:I$82&lt;'2x2 MIX'!J$43:J$82))+SUMPRODUCT(--('2x2 MIX'!D$43:D$82 = Standings!A8),--('2x2 MIX'!I$43:I$82&gt;'2x2 MIX'!J$43:J$82))</f>
        <v>0</v>
      </c>
      <c r="F8" s="24">
        <f>+SUMIFS('2x2 MIX'!I$43:J$82,'2x2 MIX'!C$43:D$82,Standings!A8)</f>
        <v>0</v>
      </c>
      <c r="G8" s="24" cm="1">
        <f t="array" ref="G8">SUMPRODUCT(--('2x2 MIX'!C$43:C$82=Standings!A8),'2x2 MIX'!J$43:J$82)+SUMPRODUCT(--('2x2 MIX'!D$43:D$82=Standings!A8),'2x2 MIX'!I$43:I$82)</f>
        <v>0</v>
      </c>
      <c r="H8" s="24">
        <f t="shared" si="0"/>
        <v>0</v>
      </c>
      <c r="I8" s="28" t="e">
        <f t="shared" si="2"/>
        <v>#DIV/0!</v>
      </c>
    </row>
    <row r="9" spans="1:9">
      <c r="A9" s="32" t="str">
        <f>+'2x2 MIX'!A38</f>
        <v>ECDC</v>
      </c>
      <c r="B9" s="33" cm="1">
        <f t="array" ref="B9">SUMPRODUCT(--('2x2 MIX'!C$43:C$82 = Standings!A9),--('2x2 MIX'!I$43:I$82&lt;&gt;""))+SUMPRODUCT(--('2x2 MIX'!D$43:D$82 = Standings!A9),--('2x2 MIX'!I$43:I$82&lt;&gt;""))</f>
        <v>0</v>
      </c>
      <c r="C9" s="33" cm="1">
        <f t="array" ref="C9">SUMPRODUCT(--('2x2 MIX'!C$43:C$82 = Standings!A9),--('2x2 MIX'!I$43:I$82&gt;'2x2 MIX'!J$43:J$82))+SUMPRODUCT(--('2x2 MIX'!D$43:D$82 = Standings!A9),--('2x2 MIX'!I$43:I$82&lt;'2x2 MIX'!J$43:J$82))</f>
        <v>0</v>
      </c>
      <c r="D9" s="33">
        <f t="shared" si="1"/>
        <v>0</v>
      </c>
      <c r="E9" s="33" cm="1">
        <f t="array" ref="E9">SUMPRODUCT(--('2x2 MIX'!C$43:C$82 = Standings!A9),--('2x2 MIX'!I$43:I$82&lt;'2x2 MIX'!J$43:J$82))+SUMPRODUCT(--('2x2 MIX'!D$43:D$82 = Standings!A9),--('2x2 MIX'!I$43:I$82&gt;'2x2 MIX'!J$43:J$82))</f>
        <v>0</v>
      </c>
      <c r="F9" s="33">
        <f>+SUMIFS('2x2 MIX'!I$43:J$82,'2x2 MIX'!C$43:D$82,Standings!A9)</f>
        <v>0</v>
      </c>
      <c r="G9" s="33" cm="1">
        <f t="array" ref="G9">SUMPRODUCT(--('2x2 MIX'!C$43:C$82=Standings!A9),'2x2 MIX'!J$43:J$82)+SUMPRODUCT(--('2x2 MIX'!D$43:D$82=Standings!A9),'2x2 MIX'!I$43:I$82)</f>
        <v>0</v>
      </c>
      <c r="H9" s="24">
        <f t="shared" si="0"/>
        <v>0</v>
      </c>
      <c r="I9" s="34" t="e">
        <f t="shared" si="2"/>
        <v>#DIV/0!</v>
      </c>
    </row>
    <row r="11" spans="1:9">
      <c r="A11" s="29" t="s">
        <v>192</v>
      </c>
      <c r="B11" s="30" t="s">
        <v>186</v>
      </c>
      <c r="C11" s="30" t="s">
        <v>197</v>
      </c>
      <c r="D11" s="30" t="s">
        <v>187</v>
      </c>
      <c r="E11" s="30" t="s">
        <v>198</v>
      </c>
      <c r="F11" s="30" t="s">
        <v>188</v>
      </c>
      <c r="G11" s="30" t="s">
        <v>189</v>
      </c>
      <c r="H11" s="30" t="s">
        <v>185</v>
      </c>
      <c r="I11" s="31" t="s">
        <v>190</v>
      </c>
    </row>
    <row r="12" spans="1:9">
      <c r="A12" s="27" t="str">
        <f>+'2x2 MIX'!B34</f>
        <v>EUIPO 4</v>
      </c>
      <c r="B12" s="24" cm="1">
        <f t="array" ref="B12">SUMPRODUCT(--('2x2 MIX'!C$43:C$82 = Standings!A12),--('2x2 MIX'!I$43:I$82&lt;&gt;""))+SUMPRODUCT(--('2x2 MIX'!D$43:D$82 = Standings!A12),--('2x2 MIX'!I$43:I$82&lt;&gt;""))</f>
        <v>0</v>
      </c>
      <c r="C12" s="24" cm="1">
        <f t="array" ref="C12">SUMPRODUCT(--('2x2 MIX'!C$43:C$82 = Standings!A12),--('2x2 MIX'!I$43:I$82&gt;'2x2 MIX'!J$43:J$82))+SUMPRODUCT(--('2x2 MIX'!D$43:D$82 = Standings!A12),--('2x2 MIX'!I$43:I$82&lt;'2x2 MIX'!J$43:J$82))</f>
        <v>0</v>
      </c>
      <c r="D12" s="24">
        <f>+B12-C12-E12</f>
        <v>0</v>
      </c>
      <c r="E12" s="24" cm="1">
        <f t="array" ref="E12">SUMPRODUCT(--('2x2 MIX'!C$43:C$82 = Standings!A12),--('2x2 MIX'!I$43:I$82&lt;'2x2 MIX'!J$43:J$82))+SUMPRODUCT(--('2x2 MIX'!D$43:D$82 = Standings!A12),--('2x2 MIX'!I$43:I$82&gt;'2x2 MIX'!J$43:J$82))</f>
        <v>0</v>
      </c>
      <c r="F12" s="24">
        <f>+SUMIFS('2x2 MIX'!I$43:J$82,'2x2 MIX'!C$43:D$82,Standings!A12)</f>
        <v>0</v>
      </c>
      <c r="G12" s="24" cm="1">
        <f t="array" ref="G12">SUMPRODUCT(--('2x2 MIX'!C$43:C$82=Standings!A12),'2x2 MIX'!J$43:J$82)+SUMPRODUCT(--('2x2 MIX'!D$43:D$82=Standings!A12),'2x2 MIX'!I$43:I$82)</f>
        <v>0</v>
      </c>
      <c r="H12" s="24">
        <f>+C12*2+D12*1</f>
        <v>0</v>
      </c>
      <c r="I12" s="28" t="e">
        <f>+F12/G12</f>
        <v>#DIV/0!</v>
      </c>
    </row>
    <row r="13" spans="1:9">
      <c r="A13" s="27" t="str">
        <f>+'2x2 MIX'!B35</f>
        <v>The Lambrusco Paradox</v>
      </c>
      <c r="B13" s="24" cm="1">
        <f t="array" ref="B13">SUMPRODUCT(--('2x2 MIX'!C$43:C$82 = Standings!A13),--('2x2 MIX'!I$43:I$82&lt;&gt;""))+SUMPRODUCT(--('2x2 MIX'!D$43:D$82 = Standings!A13),--('2x2 MIX'!I$43:I$82&lt;&gt;""))</f>
        <v>0</v>
      </c>
      <c r="C13" s="24" cm="1">
        <f t="array" ref="C13">SUMPRODUCT(--('2x2 MIX'!C$43:C$82 = Standings!A13),--('2x2 MIX'!I$43:I$82&gt;'2x2 MIX'!J$43:J$82))+SUMPRODUCT(--('2x2 MIX'!D$43:D$82 = Standings!A13),--('2x2 MIX'!I$43:I$82&lt;'2x2 MIX'!J$43:J$82))</f>
        <v>0</v>
      </c>
      <c r="D13" s="24">
        <f t="shared" ref="D13:D14" si="3">+B13-C13-E13</f>
        <v>0</v>
      </c>
      <c r="E13" s="24" cm="1">
        <f t="array" ref="E13">SUMPRODUCT(--('2x2 MIX'!C$43:C$82 = Standings!A13),--('2x2 MIX'!I$43:I$82&lt;'2x2 MIX'!J$43:J$82))+SUMPRODUCT(--('2x2 MIX'!D$43:D$82 = Standings!A13),--('2x2 MIX'!I$43:I$82&gt;'2x2 MIX'!J$43:J$82))</f>
        <v>0</v>
      </c>
      <c r="F13" s="24">
        <f>+SUMIFS('2x2 MIX'!I$43:J$82,'2x2 MIX'!C$43:D$82,Standings!A13)</f>
        <v>0</v>
      </c>
      <c r="G13" s="24" cm="1">
        <f t="array" ref="G13">SUMPRODUCT(--('2x2 MIX'!C$43:C$82=Standings!A13),'2x2 MIX'!J$43:J$82)+SUMPRODUCT(--('2x2 MIX'!D$43:D$82=Standings!A13),'2x2 MIX'!I$43:I$82)</f>
        <v>0</v>
      </c>
      <c r="H13" s="24">
        <f t="shared" ref="H13:H14" si="4">+C13*2+D13*1</f>
        <v>0</v>
      </c>
      <c r="I13" s="28" t="e">
        <f t="shared" ref="I13:I14" si="5">+F13/G13</f>
        <v>#DIV/0!</v>
      </c>
    </row>
    <row r="14" spans="1:9">
      <c r="A14" s="27" t="str">
        <f>+'2x2 MIX'!B36</f>
        <v>Balkan Beach Ballers</v>
      </c>
      <c r="B14" s="24" cm="1">
        <f t="array" ref="B14">SUMPRODUCT(--('2x2 MIX'!C$43:C$82 = Standings!A14),--('2x2 MIX'!I$43:I$82&lt;&gt;""))+SUMPRODUCT(--('2x2 MIX'!D$43:D$82 = Standings!A14),--('2x2 MIX'!I$43:I$82&lt;&gt;""))</f>
        <v>0</v>
      </c>
      <c r="C14" s="24" cm="1">
        <f t="array" ref="C14">SUMPRODUCT(--('2x2 MIX'!C$43:C$82 = Standings!A14),--('2x2 MIX'!I$43:I$82&gt;'2x2 MIX'!J$43:J$82))+SUMPRODUCT(--('2x2 MIX'!D$43:D$82 = Standings!A14),--('2x2 MIX'!I$43:I$82&lt;'2x2 MIX'!J$43:J$82))</f>
        <v>0</v>
      </c>
      <c r="D14" s="24">
        <f t="shared" si="3"/>
        <v>0</v>
      </c>
      <c r="E14" s="24" cm="1">
        <f t="array" ref="E14">SUMPRODUCT(--('2x2 MIX'!C$43:C$82 = Standings!A14),--('2x2 MIX'!I$43:I$82&lt;'2x2 MIX'!J$43:J$82))+SUMPRODUCT(--('2x2 MIX'!D$43:D$82 = Standings!A14),--('2x2 MIX'!I$43:I$82&gt;'2x2 MIX'!J$43:J$82))</f>
        <v>0</v>
      </c>
      <c r="F14" s="24">
        <f>+SUMIFS('2x2 MIX'!I$43:J$82,'2x2 MIX'!C$43:D$82,Standings!A14)</f>
        <v>0</v>
      </c>
      <c r="G14" s="24" cm="1">
        <f t="array" ref="G14">SUMPRODUCT(--('2x2 MIX'!C$43:C$82=Standings!A14),'2x2 MIX'!J$43:J$82)+SUMPRODUCT(--('2x2 MIX'!D$43:D$82=Standings!A14),'2x2 MIX'!I$43:I$82)</f>
        <v>0</v>
      </c>
      <c r="H14" s="24">
        <f t="shared" si="4"/>
        <v>0</v>
      </c>
      <c r="I14" s="28" t="e">
        <f t="shared" si="5"/>
        <v>#DIV/0!</v>
      </c>
    </row>
    <row r="15" spans="1:9">
      <c r="A15" s="32" t="str">
        <f>+'2x2 MIX'!B37</f>
        <v>JRC Energy dense</v>
      </c>
      <c r="B15" s="24" cm="1">
        <f t="array" ref="B15">SUMPRODUCT(--('2x2 MIX'!C$43:C$82 = Standings!A15),--('2x2 MIX'!I$43:I$82&lt;&gt;""))+SUMPRODUCT(--('2x2 MIX'!D$43:D$82 = Standings!A15),--('2x2 MIX'!I$43:I$82&lt;&gt;""))</f>
        <v>0</v>
      </c>
      <c r="C15" s="24" cm="1">
        <f t="array" ref="C15">SUMPRODUCT(--('2x2 MIX'!C$43:C$82 = Standings!A15),--('2x2 MIX'!I$43:I$82&gt;'2x2 MIX'!J$43:J$82))+SUMPRODUCT(--('2x2 MIX'!D$43:D$82 = Standings!A15),--('2x2 MIX'!I$43:I$82&lt;'2x2 MIX'!J$43:J$82))</f>
        <v>0</v>
      </c>
      <c r="D15" s="24">
        <f t="shared" ref="D15" si="6">+B15-C15-E15</f>
        <v>0</v>
      </c>
      <c r="E15" s="24" cm="1">
        <f t="array" ref="E15">SUMPRODUCT(--('2x2 MIX'!C$43:C$82 = Standings!A15),--('2x2 MIX'!I$43:I$82&lt;'2x2 MIX'!J$43:J$82))+SUMPRODUCT(--('2x2 MIX'!D$43:D$82 = Standings!A15),--('2x2 MIX'!I$43:I$82&gt;'2x2 MIX'!J$43:J$82))</f>
        <v>0</v>
      </c>
      <c r="F15" s="24">
        <f>+SUMIFS('2x2 MIX'!I$43:J$82,'2x2 MIX'!C$43:D$82,Standings!A15)</f>
        <v>0</v>
      </c>
      <c r="G15" s="24" cm="1">
        <f t="array" ref="G15">SUMPRODUCT(--('2x2 MIX'!C$43:C$82=Standings!A15),'2x2 MIX'!J$43:J$82)+SUMPRODUCT(--('2x2 MIX'!D$43:D$82=Standings!A15),'2x2 MIX'!I$43:I$82)</f>
        <v>0</v>
      </c>
      <c r="H15" s="24">
        <f t="shared" ref="H15" si="7">+C15*2+D15*1</f>
        <v>0</v>
      </c>
      <c r="I15" s="28" t="e">
        <f t="shared" ref="I15" si="8">+F15/G15</f>
        <v>#DIV/0!</v>
      </c>
    </row>
    <row r="17" spans="1:30">
      <c r="A17" s="29" t="s">
        <v>193</v>
      </c>
      <c r="B17" s="30" t="s">
        <v>186</v>
      </c>
      <c r="C17" s="30" t="s">
        <v>197</v>
      </c>
      <c r="D17" s="30" t="s">
        <v>187</v>
      </c>
      <c r="E17" s="30" t="s">
        <v>198</v>
      </c>
      <c r="F17" s="30" t="s">
        <v>188</v>
      </c>
      <c r="G17" s="30" t="s">
        <v>189</v>
      </c>
      <c r="H17" s="30" t="s">
        <v>185</v>
      </c>
      <c r="I17" s="31" t="s">
        <v>190</v>
      </c>
    </row>
    <row r="18" spans="1:30">
      <c r="A18" s="27" t="str">
        <f>+'2x2 MIX'!C34</f>
        <v>Copacabana</v>
      </c>
      <c r="B18" s="24" cm="1">
        <f t="array" ref="B18">SUMPRODUCT(--('2x2 MIX'!C$43:C$82 = Standings!A18),--('2x2 MIX'!I$43:I$82&lt;&gt;""))+SUMPRODUCT(--('2x2 MIX'!D$43:D$82 = Standings!A18),--('2x2 MIX'!I$43:I$82&lt;&gt;""))</f>
        <v>0</v>
      </c>
      <c r="C18" s="24" cm="1">
        <f t="array" ref="C18">SUMPRODUCT(--('2x2 MIX'!C$43:C$82 = Standings!A18),--('2x2 MIX'!I$43:I$82&gt;'2x2 MIX'!J$43:J$82))+SUMPRODUCT(--('2x2 MIX'!D$43:D$82 = Standings!A18),--('2x2 MIX'!I$43:I$82&lt;'2x2 MIX'!J$43:J$82))</f>
        <v>0</v>
      </c>
      <c r="D18" s="24">
        <f>+B18-C18-E18</f>
        <v>0</v>
      </c>
      <c r="E18" s="24" cm="1">
        <f t="array" ref="E18">SUMPRODUCT(--('2x2 MIX'!C$43:C$82 = Standings!A18),--('2x2 MIX'!I$43:I$82&lt;'2x2 MIX'!J$43:J$82))+SUMPRODUCT(--('2x2 MIX'!D$43:D$82 = Standings!A18),--('2x2 MIX'!I$43:I$82&gt;'2x2 MIX'!J$43:J$82))</f>
        <v>0</v>
      </c>
      <c r="F18" s="24">
        <f>+SUMIFS('2x2 MIX'!I$43:J$82,'2x2 MIX'!C$43:D$82,Standings!A18)</f>
        <v>0</v>
      </c>
      <c r="G18" s="24" cm="1">
        <f t="array" ref="G18">SUMPRODUCT(--('2x2 MIX'!C$43:C$82=Standings!A18),'2x2 MIX'!J$43:J$82)+SUMPRODUCT(--('2x2 MIX'!D$43:D$82=Standings!A18),'2x2 MIX'!I$43:I$82)</f>
        <v>0</v>
      </c>
      <c r="H18" s="24">
        <f>+C18*2+D18*1</f>
        <v>0</v>
      </c>
      <c r="I18" s="28" t="e">
        <f>+F18/G18</f>
        <v>#DIV/0!</v>
      </c>
    </row>
    <row r="19" spans="1:30">
      <c r="A19" s="27" t="str">
        <f>+'2x2 MIX'!C35</f>
        <v>From Tokyo to The Hague</v>
      </c>
      <c r="B19" s="24" cm="1">
        <f t="array" ref="B19">SUMPRODUCT(--('2x2 MIX'!C$43:C$82 = Standings!A19),--('2x2 MIX'!I$43:I$82&lt;&gt;""))+SUMPRODUCT(--('2x2 MIX'!D$43:D$82 = Standings!A19),--('2x2 MIX'!I$43:I$82&lt;&gt;""))</f>
        <v>0</v>
      </c>
      <c r="C19" s="24" cm="1">
        <f t="array" ref="C19">SUMPRODUCT(--('2x2 MIX'!C$43:C$82 = Standings!A19),--('2x2 MIX'!I$43:I$82&gt;'2x2 MIX'!J$43:J$82))+SUMPRODUCT(--('2x2 MIX'!D$43:D$82 = Standings!A19),--('2x2 MIX'!I$43:I$82&lt;'2x2 MIX'!J$43:J$82))</f>
        <v>0</v>
      </c>
      <c r="D19" s="24">
        <f t="shared" ref="D19:D21" si="9">+B19-C19-E19</f>
        <v>0</v>
      </c>
      <c r="E19" s="24" cm="1">
        <f t="array" ref="E19">SUMPRODUCT(--('2x2 MIX'!C$43:C$82 = Standings!A19),--('2x2 MIX'!I$43:I$82&lt;'2x2 MIX'!J$43:J$82))+SUMPRODUCT(--('2x2 MIX'!D$43:D$82 = Standings!A19),--('2x2 MIX'!I$43:I$82&gt;'2x2 MIX'!J$43:J$82))</f>
        <v>0</v>
      </c>
      <c r="F19" s="24">
        <f>+SUMIFS('2x2 MIX'!I$43:J$82,'2x2 MIX'!C$43:D$82,Standings!A19)</f>
        <v>0</v>
      </c>
      <c r="G19" s="24" cm="1">
        <f t="array" ref="G19">SUMPRODUCT(--('2x2 MIX'!C$43:C$82=Standings!A19),'2x2 MIX'!J$43:J$82)+SUMPRODUCT(--('2x2 MIX'!D$43:D$82=Standings!A19),'2x2 MIX'!I$43:I$82)</f>
        <v>0</v>
      </c>
      <c r="H19" s="24">
        <f t="shared" ref="H19:H21" si="10">+C19*2+D19*1</f>
        <v>0</v>
      </c>
      <c r="I19" s="28" t="e">
        <f t="shared" ref="I19:I21" si="11">+F19/G19</f>
        <v>#DIV/0!</v>
      </c>
    </row>
    <row r="20" spans="1:30">
      <c r="A20" s="27" t="str">
        <f>+'2x2 MIX'!C36</f>
        <v>Mdina Defenders</v>
      </c>
      <c r="B20" s="24" cm="1">
        <f t="array" ref="B20">SUMPRODUCT(--('2x2 MIX'!C$43:C$82 = Standings!A20),--('2x2 MIX'!I$43:I$82&lt;&gt;""))+SUMPRODUCT(--('2x2 MIX'!D$43:D$82 = Standings!A20),--('2x2 MIX'!I$43:I$82&lt;&gt;""))</f>
        <v>0</v>
      </c>
      <c r="C20" s="24" cm="1">
        <f t="array" ref="C20">SUMPRODUCT(--('2x2 MIX'!C$43:C$82 = Standings!A20),--('2x2 MIX'!I$43:I$82&gt;'2x2 MIX'!J$43:J$82))+SUMPRODUCT(--('2x2 MIX'!D$43:D$82 = Standings!A20),--('2x2 MIX'!I$43:I$82&lt;'2x2 MIX'!J$43:J$82))</f>
        <v>0</v>
      </c>
      <c r="D20" s="24">
        <f t="shared" si="9"/>
        <v>0</v>
      </c>
      <c r="E20" s="24" cm="1">
        <f t="array" ref="E20">SUMPRODUCT(--('2x2 MIX'!C$43:C$82 = Standings!A20),--('2x2 MIX'!I$43:I$82&lt;'2x2 MIX'!J$43:J$82))+SUMPRODUCT(--('2x2 MIX'!D$43:D$82 = Standings!A20),--('2x2 MIX'!I$43:I$82&gt;'2x2 MIX'!J$43:J$82))</f>
        <v>0</v>
      </c>
      <c r="F20" s="24">
        <f>+SUMIFS('2x2 MIX'!I$43:J$82,'2x2 MIX'!C$43:D$82,Standings!A20)</f>
        <v>0</v>
      </c>
      <c r="G20" s="24" cm="1">
        <f t="array" ref="G20">SUMPRODUCT(--('2x2 MIX'!C$43:C$82=Standings!A20),'2x2 MIX'!J$43:J$82)+SUMPRODUCT(--('2x2 MIX'!D$43:D$82=Standings!A20),'2x2 MIX'!I$43:I$82)</f>
        <v>0</v>
      </c>
      <c r="H20" s="24">
        <f t="shared" si="10"/>
        <v>0</v>
      </c>
      <c r="I20" s="28" t="e">
        <f t="shared" si="11"/>
        <v>#DIV/0!</v>
      </c>
    </row>
    <row r="21" spans="1:30">
      <c r="A21" s="32" t="str">
        <f>+'2x2 MIX'!C37</f>
        <v>Gianmarcoooo</v>
      </c>
      <c r="B21" s="33" cm="1">
        <f t="array" ref="B21">SUMPRODUCT(--('2x2 MIX'!C$43:C$82 = Standings!A21),--('2x2 MIX'!I$43:I$82&lt;&gt;""))+SUMPRODUCT(--('2x2 MIX'!D$43:D$82 = Standings!A21),--('2x2 MIX'!I$43:I$82&lt;&gt;""))</f>
        <v>0</v>
      </c>
      <c r="C21" s="33" cm="1">
        <f t="array" ref="C21">SUMPRODUCT(--('2x2 MIX'!C$43:C$82 = Standings!A21),--('2x2 MIX'!I$43:I$82&gt;'2x2 MIX'!J$43:J$82))+SUMPRODUCT(--('2x2 MIX'!D$43:D$82 = Standings!A21),--('2x2 MIX'!I$43:I$82&lt;'2x2 MIX'!J$43:J$82))</f>
        <v>0</v>
      </c>
      <c r="D21" s="33">
        <f t="shared" si="9"/>
        <v>0</v>
      </c>
      <c r="E21" s="33" cm="1">
        <f t="array" ref="E21">SUMPRODUCT(--('2x2 MIX'!C$43:C$82 = Standings!A21),--('2x2 MIX'!I$43:I$82&lt;'2x2 MIX'!J$43:J$82))+SUMPRODUCT(--('2x2 MIX'!D$43:D$82 = Standings!A21),--('2x2 MIX'!I$43:I$82&gt;'2x2 MIX'!J$43:J$82))</f>
        <v>0</v>
      </c>
      <c r="F21" s="33">
        <f>+SUMIFS('2x2 MIX'!I$43:J$82,'2x2 MIX'!C$43:D$82,Standings!A21)</f>
        <v>0</v>
      </c>
      <c r="G21" s="33" cm="1">
        <f t="array" ref="G21">SUMPRODUCT(--('2x2 MIX'!C$43:C$82=Standings!A21),'2x2 MIX'!J$43:J$82)+SUMPRODUCT(--('2x2 MIX'!D$43:D$82=Standings!A21),'2x2 MIX'!I$43:I$82)</f>
        <v>0</v>
      </c>
      <c r="H21" s="33">
        <f t="shared" si="10"/>
        <v>0</v>
      </c>
      <c r="I21" s="34" t="e">
        <f t="shared" si="11"/>
        <v>#DIV/0!</v>
      </c>
    </row>
    <row r="23" spans="1:30">
      <c r="A23" s="29" t="s">
        <v>194</v>
      </c>
      <c r="B23" s="30" t="s">
        <v>186</v>
      </c>
      <c r="C23" s="30" t="s">
        <v>197</v>
      </c>
      <c r="D23" s="30" t="s">
        <v>187</v>
      </c>
      <c r="E23" s="30" t="s">
        <v>198</v>
      </c>
      <c r="F23" s="30" t="s">
        <v>188</v>
      </c>
      <c r="G23" s="30" t="s">
        <v>189</v>
      </c>
      <c r="H23" s="30" t="s">
        <v>185</v>
      </c>
      <c r="I23" s="31" t="s">
        <v>190</v>
      </c>
      <c r="U23" s="35"/>
      <c r="V23" s="35"/>
      <c r="W23" s="35"/>
      <c r="X23" s="35"/>
      <c r="Y23" s="35"/>
      <c r="Z23" s="35"/>
      <c r="AA23" s="35"/>
      <c r="AB23" s="35"/>
      <c r="AC23" s="35"/>
      <c r="AD23" s="36"/>
    </row>
    <row r="24" spans="1:30">
      <c r="A24" s="27" t="str">
        <f>+'2x2 MIX'!D34</f>
        <v>Keto</v>
      </c>
      <c r="B24" s="24" cm="1">
        <f t="array" ref="B24">SUMPRODUCT(--('2x2 MIX'!C$43:C$82 = Standings!A24),--('2x2 MIX'!I$43:I$82&lt;&gt;""))+SUMPRODUCT(--('2x2 MIX'!D$43:D$82 = Standings!A24),--('2x2 MIX'!I$43:I$82&lt;&gt;""))</f>
        <v>0</v>
      </c>
      <c r="C24" s="24" cm="1">
        <f t="array" ref="C24">SUMPRODUCT(--('2x2 MIX'!C$43:C$82 = Standings!A24),--('2x2 MIX'!I$43:I$82&gt;'2x2 MIX'!J$43:J$82))+SUMPRODUCT(--('2x2 MIX'!D$43:D$82 = Standings!A24),--('2x2 MIX'!I$43:I$82&lt;'2x2 MIX'!J$43:J$82))</f>
        <v>0</v>
      </c>
      <c r="D24" s="24">
        <f>+B24-C24-E24</f>
        <v>0</v>
      </c>
      <c r="E24" s="24" cm="1">
        <f t="array" ref="E24">SUMPRODUCT(--('2x2 MIX'!C$43:C$82 = Standings!A24),--('2x2 MIX'!I$43:I$82&lt;'2x2 MIX'!J$43:J$82))+SUMPRODUCT(--('2x2 MIX'!D$43:D$82 = Standings!A24),--('2x2 MIX'!I$43:I$82&gt;'2x2 MIX'!J$43:J$82))</f>
        <v>0</v>
      </c>
      <c r="F24" s="24">
        <f>+SUMIFS('2x2 MIX'!I$43:J$82,'2x2 MIX'!C$43:D$82,Standings!A24)</f>
        <v>0</v>
      </c>
      <c r="G24" s="24" cm="1">
        <f t="array" ref="G24">SUMPRODUCT(--('2x2 MIX'!C$43:C$82=Standings!A24),'2x2 MIX'!J$43:J$82)+SUMPRODUCT(--('2x2 MIX'!D$43:D$82=Standings!A24),'2x2 MIX'!I$43:I$82)</f>
        <v>0</v>
      </c>
      <c r="H24" s="24">
        <f>+C24*2+D24*1</f>
        <v>0</v>
      </c>
      <c r="I24" s="28" t="e">
        <f>+F24/G24</f>
        <v>#DIV/0!</v>
      </c>
      <c r="U24" s="35"/>
      <c r="V24" s="36"/>
      <c r="W24" s="36"/>
      <c r="X24" s="36"/>
      <c r="Y24" s="36"/>
      <c r="Z24" s="36"/>
      <c r="AA24" s="36"/>
      <c r="AB24" s="36"/>
      <c r="AC24" s="36"/>
      <c r="AD24" s="36"/>
    </row>
    <row r="25" spans="1:30">
      <c r="A25" s="27" t="str">
        <f>+'2x2 MIX'!D35</f>
        <v>EFSA 3</v>
      </c>
      <c r="B25" s="24" cm="1">
        <f t="array" ref="B25">SUMPRODUCT(--('2x2 MIX'!C$43:C$82 = Standings!A25),--('2x2 MIX'!I$43:I$82&lt;&gt;""))+SUMPRODUCT(--('2x2 MIX'!D$43:D$82 = Standings!A25),--('2x2 MIX'!I$43:I$82&lt;&gt;""))</f>
        <v>0</v>
      </c>
      <c r="C25" s="24" cm="1">
        <f t="array" ref="C25">SUMPRODUCT(--('2x2 MIX'!C$43:C$82 = Standings!A25),--('2x2 MIX'!I$43:I$82&gt;'2x2 MIX'!J$43:J$82))+SUMPRODUCT(--('2x2 MIX'!D$43:D$82 = Standings!A25),--('2x2 MIX'!I$43:I$82&lt;'2x2 MIX'!J$43:J$82))</f>
        <v>0</v>
      </c>
      <c r="D25" s="24">
        <f t="shared" ref="D25:D27" si="12">+B25-C25-E25</f>
        <v>0</v>
      </c>
      <c r="E25" s="24" cm="1">
        <f t="array" ref="E25">SUMPRODUCT(--('2x2 MIX'!C$43:C$82 = Standings!A25),--('2x2 MIX'!I$43:I$82&lt;'2x2 MIX'!J$43:J$82))+SUMPRODUCT(--('2x2 MIX'!D$43:D$82 = Standings!A25),--('2x2 MIX'!I$43:I$82&gt;'2x2 MIX'!J$43:J$82))</f>
        <v>0</v>
      </c>
      <c r="F25" s="24">
        <f>+SUMIFS('2x2 MIX'!I$43:J$82,'2x2 MIX'!C$43:D$82,Standings!A25)</f>
        <v>0</v>
      </c>
      <c r="G25" s="24" cm="1">
        <f t="array" ref="G25">SUMPRODUCT(--('2x2 MIX'!C$43:C$82=Standings!A25),'2x2 MIX'!J$43:J$82)+SUMPRODUCT(--('2x2 MIX'!D$43:D$82=Standings!A25),'2x2 MIX'!I$43:I$82)</f>
        <v>0</v>
      </c>
      <c r="H25" s="24">
        <f t="shared" ref="H25:H27" si="13">+C25*2+D25*1</f>
        <v>0</v>
      </c>
      <c r="I25" s="28" t="e">
        <f t="shared" ref="I25:I27" si="14">+F25/G25</f>
        <v>#DIV/0!</v>
      </c>
      <c r="U25" s="35"/>
      <c r="V25" s="36"/>
      <c r="W25" s="36"/>
      <c r="X25" s="36"/>
      <c r="Y25" s="36"/>
      <c r="Z25" s="36"/>
      <c r="AA25" s="36"/>
      <c r="AB25" s="36"/>
      <c r="AC25" s="36"/>
      <c r="AD25" s="36"/>
    </row>
    <row r="26" spans="1:30">
      <c r="A26" s="27" t="str">
        <f>+'2x2 MIX'!D36</f>
        <v>Ftira Fellowship</v>
      </c>
      <c r="B26" s="24" cm="1">
        <f t="array" ref="B26">SUMPRODUCT(--('2x2 MIX'!C$43:C$82 = Standings!A26),--('2x2 MIX'!I$43:I$82&lt;&gt;""))+SUMPRODUCT(--('2x2 MIX'!D$43:D$82 = Standings!A26),--('2x2 MIX'!I$43:I$82&lt;&gt;""))</f>
        <v>0</v>
      </c>
      <c r="C26" s="24" cm="1">
        <f t="array" ref="C26">SUMPRODUCT(--('2x2 MIX'!C$43:C$82 = Standings!A26),--('2x2 MIX'!I$43:I$82&gt;'2x2 MIX'!J$43:J$82))+SUMPRODUCT(--('2x2 MIX'!D$43:D$82 = Standings!A26),--('2x2 MIX'!I$43:I$82&lt;'2x2 MIX'!J$43:J$82))</f>
        <v>0</v>
      </c>
      <c r="D26" s="24">
        <f t="shared" si="12"/>
        <v>0</v>
      </c>
      <c r="E26" s="24" cm="1">
        <f t="array" ref="E26">SUMPRODUCT(--('2x2 MIX'!C$43:C$82 = Standings!A26),--('2x2 MIX'!I$43:I$82&lt;'2x2 MIX'!J$43:J$82))+SUMPRODUCT(--('2x2 MIX'!D$43:D$82 = Standings!A26),--('2x2 MIX'!I$43:I$82&gt;'2x2 MIX'!J$43:J$82))</f>
        <v>0</v>
      </c>
      <c r="F26" s="24">
        <f>+SUMIFS('2x2 MIX'!I$43:J$82,'2x2 MIX'!C$43:D$82,Standings!A26)</f>
        <v>0</v>
      </c>
      <c r="G26" s="24" cm="1">
        <f t="array" ref="G26">SUMPRODUCT(--('2x2 MIX'!C$43:C$82=Standings!A26),'2x2 MIX'!J$43:J$82)+SUMPRODUCT(--('2x2 MIX'!D$43:D$82=Standings!A26),'2x2 MIX'!I$43:I$82)</f>
        <v>0</v>
      </c>
      <c r="H26" s="24">
        <f t="shared" si="13"/>
        <v>0</v>
      </c>
      <c r="I26" s="28" t="e">
        <f t="shared" si="14"/>
        <v>#DIV/0!</v>
      </c>
      <c r="U26" s="35"/>
      <c r="V26" s="36"/>
      <c r="W26" s="36"/>
      <c r="X26" s="36"/>
      <c r="Y26" s="36"/>
      <c r="Z26" s="36"/>
      <c r="AA26" s="36"/>
      <c r="AB26" s="36"/>
      <c r="AC26" s="36"/>
      <c r="AD26" s="36"/>
    </row>
    <row r="27" spans="1:30">
      <c r="A27" s="32" t="str">
        <f>+'2x2 MIX'!D37</f>
        <v>Ticino e Carbonara</v>
      </c>
      <c r="B27" s="33" cm="1">
        <f t="array" ref="B27">SUMPRODUCT(--('2x2 MIX'!C$43:C$82 = Standings!A27),--('2x2 MIX'!I$43:I$82&lt;&gt;""))+SUMPRODUCT(--('2x2 MIX'!D$43:D$82 = Standings!A27),--('2x2 MIX'!I$43:I$82&lt;&gt;""))</f>
        <v>0</v>
      </c>
      <c r="C27" s="33" cm="1">
        <f t="array" ref="C27">SUMPRODUCT(--('2x2 MIX'!C$43:C$82 = Standings!A27),--('2x2 MIX'!I$43:I$82&gt;'2x2 MIX'!J$43:J$82))+SUMPRODUCT(--('2x2 MIX'!D$43:D$82 = Standings!A27),--('2x2 MIX'!I$43:I$82&lt;'2x2 MIX'!J$43:J$82))</f>
        <v>0</v>
      </c>
      <c r="D27" s="33">
        <f t="shared" si="12"/>
        <v>0</v>
      </c>
      <c r="E27" s="33" cm="1">
        <f t="array" ref="E27">SUMPRODUCT(--('2x2 MIX'!C$43:C$82 = Standings!A27),--('2x2 MIX'!I$43:I$82&lt;'2x2 MIX'!J$43:J$82))+SUMPRODUCT(--('2x2 MIX'!D$43:D$82 = Standings!A27),--('2x2 MIX'!I$43:I$82&gt;'2x2 MIX'!J$43:J$82))</f>
        <v>0</v>
      </c>
      <c r="F27" s="33">
        <f>+SUMIFS('2x2 MIX'!I$43:J$82,'2x2 MIX'!C$43:D$82,Standings!A27)</f>
        <v>0</v>
      </c>
      <c r="G27" s="33" cm="1">
        <f t="array" ref="G27">SUMPRODUCT(--('2x2 MIX'!C$43:C$82=Standings!A27),'2x2 MIX'!J$43:J$82)+SUMPRODUCT(--('2x2 MIX'!D$43:D$82=Standings!A27),'2x2 MIX'!I$43:I$82)</f>
        <v>0</v>
      </c>
      <c r="H27" s="33">
        <f t="shared" si="13"/>
        <v>0</v>
      </c>
      <c r="I27" s="34" t="e">
        <f t="shared" si="14"/>
        <v>#DIV/0!</v>
      </c>
      <c r="U27" s="35"/>
      <c r="V27" s="36"/>
      <c r="W27" s="36"/>
      <c r="X27" s="36"/>
      <c r="Y27" s="36"/>
      <c r="Z27" s="36"/>
      <c r="AA27" s="36"/>
      <c r="AB27" s="36"/>
      <c r="AC27" s="36"/>
      <c r="AD27" s="36"/>
    </row>
    <row r="28" spans="1:30">
      <c r="U28" s="36"/>
      <c r="V28" s="36"/>
      <c r="W28" s="36"/>
      <c r="X28" s="36"/>
      <c r="Y28" s="36"/>
      <c r="Z28" s="36"/>
      <c r="AA28" s="36"/>
      <c r="AB28" s="36"/>
      <c r="AC28" s="36"/>
      <c r="AD28" s="36"/>
    </row>
    <row r="29" spans="1:30">
      <c r="A29" s="29" t="s">
        <v>195</v>
      </c>
      <c r="B29" s="30" t="s">
        <v>186</v>
      </c>
      <c r="C29" s="30" t="s">
        <v>197</v>
      </c>
      <c r="D29" s="30" t="s">
        <v>187</v>
      </c>
      <c r="E29" s="30" t="s">
        <v>198</v>
      </c>
      <c r="F29" s="30" t="s">
        <v>188</v>
      </c>
      <c r="G29" s="30" t="s">
        <v>189</v>
      </c>
      <c r="H29" s="30" t="s">
        <v>185</v>
      </c>
      <c r="I29" s="31" t="s">
        <v>190</v>
      </c>
      <c r="K29" s="35"/>
      <c r="L29" s="35"/>
      <c r="M29" s="35"/>
      <c r="N29" s="35"/>
      <c r="O29" s="35"/>
      <c r="P29" s="35"/>
      <c r="Q29" s="35"/>
      <c r="R29" s="35"/>
      <c r="S29" s="35"/>
      <c r="U29" s="35"/>
      <c r="V29" s="35"/>
      <c r="W29" s="35"/>
      <c r="X29" s="35"/>
      <c r="Y29" s="35"/>
      <c r="Z29" s="35"/>
      <c r="AA29" s="35"/>
      <c r="AB29" s="35"/>
      <c r="AC29" s="35"/>
      <c r="AD29" s="36"/>
    </row>
    <row r="30" spans="1:30">
      <c r="A30" s="27" t="str">
        <f>+'2x2 MIX'!E34</f>
        <v>Jellybeans</v>
      </c>
      <c r="B30" s="24" cm="1">
        <f t="array" ref="B30">SUMPRODUCT(--('2x2 MIX'!C$43:C$82 = Standings!A30),--('2x2 MIX'!I$43:I$82&lt;&gt;""))+SUMPRODUCT(--('2x2 MIX'!D$43:D$82 = Standings!A30),--('2x2 MIX'!I$43:I$82&lt;&gt;""))</f>
        <v>0</v>
      </c>
      <c r="C30" s="24" cm="1">
        <f t="array" ref="C30">SUMPRODUCT(--('2x2 MIX'!C$43:C$82 = Standings!A30),--('2x2 MIX'!I$43:I$82&gt;'2x2 MIX'!J$43:J$82))+SUMPRODUCT(--('2x2 MIX'!D$43:D$82 = Standings!A30),--('2x2 MIX'!I$43:I$82&lt;'2x2 MIX'!J$43:J$82))</f>
        <v>0</v>
      </c>
      <c r="D30" s="24">
        <f>+B30-C30-E30</f>
        <v>0</v>
      </c>
      <c r="E30" s="24" cm="1">
        <f t="array" ref="E30">SUMPRODUCT(--('2x2 MIX'!C$43:C$82 = Standings!A30),--('2x2 MIX'!I$43:I$82&lt;'2x2 MIX'!J$43:J$82))+SUMPRODUCT(--('2x2 MIX'!D$43:D$82 = Standings!A30),--('2x2 MIX'!I$43:I$82&gt;'2x2 MIX'!J$43:J$82))</f>
        <v>0</v>
      </c>
      <c r="F30" s="24">
        <f>+SUMIFS('2x2 MIX'!I$43:J$82,'2x2 MIX'!C$43:D$82,Standings!A30)</f>
        <v>0</v>
      </c>
      <c r="G30" s="24" cm="1">
        <f t="array" ref="G30">SUMPRODUCT(--('2x2 MIX'!C$43:C$82=Standings!A30),'2x2 MIX'!J$43:J$82)+SUMPRODUCT(--('2x2 MIX'!D$43:D$82=Standings!A30),'2x2 MIX'!I$43:I$82)</f>
        <v>0</v>
      </c>
      <c r="H30" s="24">
        <f>+C30*2+D30*1</f>
        <v>0</v>
      </c>
      <c r="I30" s="28" t="e">
        <f>+F30/G30</f>
        <v>#DIV/0!</v>
      </c>
      <c r="K30" s="35"/>
      <c r="L30" s="36"/>
      <c r="M30" s="36"/>
      <c r="N30" s="36"/>
      <c r="O30" s="36"/>
      <c r="P30" s="36"/>
      <c r="Q30" s="36"/>
      <c r="R30" s="36"/>
      <c r="S30" s="36"/>
      <c r="U30" s="35"/>
      <c r="V30" s="36"/>
      <c r="W30" s="36"/>
      <c r="X30" s="36"/>
      <c r="Y30" s="36"/>
      <c r="Z30" s="36"/>
      <c r="AA30" s="36"/>
      <c r="AB30" s="36"/>
      <c r="AC30" s="36"/>
      <c r="AD30" s="36"/>
    </row>
    <row r="31" spans="1:30">
      <c r="A31" s="27" t="str">
        <f>+'2x2 MIX'!E35</f>
        <v>EFSA 4</v>
      </c>
      <c r="B31" s="24" cm="1">
        <f t="array" ref="B31">SUMPRODUCT(--('2x2 MIX'!C$43:C$82 = Standings!A31),--('2x2 MIX'!I$43:I$82&lt;&gt;""))+SUMPRODUCT(--('2x2 MIX'!D$43:D$82 = Standings!A31),--('2x2 MIX'!I$43:I$82&lt;&gt;""))</f>
        <v>0</v>
      </c>
      <c r="C31" s="24" cm="1">
        <f t="array" ref="C31">SUMPRODUCT(--('2x2 MIX'!C$43:C$82 = Standings!A31),--('2x2 MIX'!I$43:I$82&gt;'2x2 MIX'!J$43:J$82))+SUMPRODUCT(--('2x2 MIX'!D$43:D$82 = Standings!A31),--('2x2 MIX'!I$43:I$82&lt;'2x2 MIX'!J$43:J$82))</f>
        <v>0</v>
      </c>
      <c r="D31" s="24">
        <f t="shared" ref="D31:D33" si="15">+B31-C31-E31</f>
        <v>0</v>
      </c>
      <c r="E31" s="24" cm="1">
        <f t="array" ref="E31">SUMPRODUCT(--('2x2 MIX'!C$43:C$82 = Standings!A31),--('2x2 MIX'!I$43:I$82&lt;'2x2 MIX'!J$43:J$82))+SUMPRODUCT(--('2x2 MIX'!D$43:D$82 = Standings!A31),--('2x2 MIX'!I$43:I$82&gt;'2x2 MIX'!J$43:J$82))</f>
        <v>0</v>
      </c>
      <c r="F31" s="24">
        <f>+SUMIFS('2x2 MIX'!I$43:J$82,'2x2 MIX'!C$43:D$82,Standings!A31)</f>
        <v>0</v>
      </c>
      <c r="G31" s="24" cm="1">
        <f t="array" ref="G31">SUMPRODUCT(--('2x2 MIX'!C$43:C$82=Standings!A31),'2x2 MIX'!J$43:J$82)+SUMPRODUCT(--('2x2 MIX'!D$43:D$82=Standings!A31),'2x2 MIX'!I$43:I$82)</f>
        <v>0</v>
      </c>
      <c r="H31" s="24">
        <f t="shared" ref="H31:H33" si="16">+C31*2+D31*1</f>
        <v>0</v>
      </c>
      <c r="I31" s="28" t="e">
        <f t="shared" ref="I31:I33" si="17">+F31/G31</f>
        <v>#DIV/0!</v>
      </c>
      <c r="K31" s="35"/>
      <c r="L31" s="36"/>
      <c r="M31" s="36"/>
      <c r="N31" s="36"/>
      <c r="O31" s="36"/>
      <c r="P31" s="36"/>
      <c r="Q31" s="36"/>
      <c r="R31" s="36"/>
      <c r="S31" s="36"/>
      <c r="U31" s="35"/>
      <c r="V31" s="36"/>
      <c r="W31" s="36"/>
      <c r="X31" s="36"/>
      <c r="Y31" s="36"/>
      <c r="Z31" s="36"/>
      <c r="AA31" s="36"/>
      <c r="AB31" s="36"/>
      <c r="AC31" s="36"/>
      <c r="AD31" s="36"/>
    </row>
    <row r="32" spans="1:30">
      <c r="A32" s="27" t="str">
        <f>+'2x2 MIX'!E36</f>
        <v>EUROPOL MIX</v>
      </c>
      <c r="B32" s="24" cm="1">
        <f t="array" ref="B32">SUMPRODUCT(--('2x2 MIX'!C$43:C$82 = Standings!A32),--('2x2 MIX'!I$43:I$82&lt;&gt;""))+SUMPRODUCT(--('2x2 MIX'!D$43:D$82 = Standings!A32),--('2x2 MIX'!I$43:I$82&lt;&gt;""))</f>
        <v>0</v>
      </c>
      <c r="C32" s="24" cm="1">
        <f t="array" ref="C32">SUMPRODUCT(--('2x2 MIX'!C$43:C$82 = Standings!A32),--('2x2 MIX'!I$43:I$82&gt;'2x2 MIX'!J$43:J$82))+SUMPRODUCT(--('2x2 MIX'!D$43:D$82 = Standings!A32),--('2x2 MIX'!I$43:I$82&lt;'2x2 MIX'!J$43:J$82))</f>
        <v>0</v>
      </c>
      <c r="D32" s="24">
        <f t="shared" si="15"/>
        <v>0</v>
      </c>
      <c r="E32" s="24" cm="1">
        <f t="array" ref="E32">SUMPRODUCT(--('2x2 MIX'!C$43:C$82 = Standings!A32),--('2x2 MIX'!I$43:I$82&lt;'2x2 MIX'!J$43:J$82))+SUMPRODUCT(--('2x2 MIX'!D$43:D$82 = Standings!A32),--('2x2 MIX'!I$43:I$82&gt;'2x2 MIX'!J$43:J$82))</f>
        <v>0</v>
      </c>
      <c r="F32" s="24">
        <f>+SUMIFS('2x2 MIX'!I$43:J$82,'2x2 MIX'!C$43:D$82,Standings!A32)</f>
        <v>0</v>
      </c>
      <c r="G32" s="24" cm="1">
        <f t="array" ref="G32">SUMPRODUCT(--('2x2 MIX'!C$43:C$82=Standings!A32),'2x2 MIX'!J$43:J$82)+SUMPRODUCT(--('2x2 MIX'!D$43:D$82=Standings!A32),'2x2 MIX'!I$43:I$82)</f>
        <v>0</v>
      </c>
      <c r="H32" s="24">
        <f t="shared" si="16"/>
        <v>0</v>
      </c>
      <c r="I32" s="28" t="e">
        <f t="shared" si="17"/>
        <v>#DIV/0!</v>
      </c>
      <c r="K32" s="35"/>
      <c r="L32" s="36"/>
      <c r="M32" s="36"/>
      <c r="N32" s="36"/>
      <c r="O32" s="36"/>
      <c r="P32" s="36"/>
      <c r="Q32" s="36"/>
      <c r="R32" s="36"/>
      <c r="S32" s="36"/>
      <c r="U32" s="35"/>
      <c r="V32" s="36"/>
      <c r="W32" s="36"/>
      <c r="X32" s="36"/>
      <c r="Y32" s="36"/>
      <c r="Z32" s="36"/>
      <c r="AA32" s="36"/>
      <c r="AB32" s="36"/>
      <c r="AC32" s="36"/>
      <c r="AD32" s="36"/>
    </row>
    <row r="33" spans="1:30">
      <c r="A33" s="32" t="str">
        <f>+'2x2 MIX'!E37</f>
        <v>Sandstormers</v>
      </c>
      <c r="B33" s="33" cm="1">
        <f t="array" ref="B33">SUMPRODUCT(--('2x2 MIX'!C$43:C$82 = Standings!A33),--('2x2 MIX'!I$43:I$82&lt;&gt;""))+SUMPRODUCT(--('2x2 MIX'!D$43:D$82 = Standings!A33),--('2x2 MIX'!I$43:I$82&lt;&gt;""))</f>
        <v>0</v>
      </c>
      <c r="C33" s="33" cm="1">
        <f t="array" ref="C33">SUMPRODUCT(--('2x2 MIX'!C$43:C$82 = Standings!A33),--('2x2 MIX'!I$43:I$82&gt;'2x2 MIX'!J$43:J$82))+SUMPRODUCT(--('2x2 MIX'!D$43:D$82 = Standings!A33),--('2x2 MIX'!I$43:I$82&lt;'2x2 MIX'!J$43:J$82))</f>
        <v>0</v>
      </c>
      <c r="D33" s="33">
        <f t="shared" si="15"/>
        <v>0</v>
      </c>
      <c r="E33" s="33" cm="1">
        <f t="array" ref="E33">SUMPRODUCT(--('2x2 MIX'!C$43:C$82 = Standings!A33),--('2x2 MIX'!I$43:I$82&lt;'2x2 MIX'!J$43:J$82))+SUMPRODUCT(--('2x2 MIX'!D$43:D$82 = Standings!A33),--('2x2 MIX'!I$43:I$82&gt;'2x2 MIX'!J$43:J$82))</f>
        <v>0</v>
      </c>
      <c r="F33" s="33">
        <f>+SUMIFS('2x2 MIX'!I$43:J$82,'2x2 MIX'!C$43:D$82,Standings!A33)</f>
        <v>0</v>
      </c>
      <c r="G33" s="33" cm="1">
        <f t="array" ref="G33">SUMPRODUCT(--('2x2 MIX'!C$43:C$82=Standings!A33),'2x2 MIX'!J$43:J$82)+SUMPRODUCT(--('2x2 MIX'!D$43:D$82=Standings!A33),'2x2 MIX'!I$43:I$82)</f>
        <v>0</v>
      </c>
      <c r="H33" s="33">
        <f t="shared" si="16"/>
        <v>0</v>
      </c>
      <c r="I33" s="34" t="e">
        <f t="shared" si="17"/>
        <v>#DIV/0!</v>
      </c>
      <c r="K33" s="35"/>
      <c r="L33" s="36"/>
      <c r="M33" s="36"/>
      <c r="N33" s="36"/>
      <c r="O33" s="36"/>
      <c r="P33" s="36"/>
      <c r="Q33" s="36"/>
      <c r="R33" s="36"/>
      <c r="S33" s="36"/>
      <c r="U33" s="35"/>
      <c r="V33" s="36"/>
      <c r="W33" s="36"/>
      <c r="X33" s="36"/>
      <c r="Y33" s="36"/>
      <c r="Z33" s="36"/>
      <c r="AA33" s="36"/>
      <c r="AB33" s="36"/>
      <c r="AC33" s="36"/>
      <c r="AD33" s="36"/>
    </row>
    <row r="35" spans="1:30">
      <c r="A35" s="29" t="s">
        <v>196</v>
      </c>
      <c r="B35" s="30" t="s">
        <v>186</v>
      </c>
      <c r="C35" s="30" t="s">
        <v>197</v>
      </c>
      <c r="D35" s="30" t="s">
        <v>187</v>
      </c>
      <c r="E35" s="30" t="s">
        <v>198</v>
      </c>
      <c r="F35" s="30" t="s">
        <v>188</v>
      </c>
      <c r="G35" s="30" t="s">
        <v>189</v>
      </c>
      <c r="H35" s="30" t="s">
        <v>185</v>
      </c>
      <c r="I35" s="31" t="s">
        <v>190</v>
      </c>
      <c r="K35" s="35"/>
      <c r="L35" s="35"/>
      <c r="M35" s="35"/>
      <c r="N35" s="35"/>
      <c r="O35" s="35"/>
      <c r="P35" s="35"/>
      <c r="Q35" s="35"/>
      <c r="R35" s="35"/>
      <c r="S35" s="35"/>
      <c r="U35" s="35"/>
      <c r="V35" s="35"/>
      <c r="W35" s="35"/>
      <c r="X35" s="35"/>
      <c r="Y35" s="35"/>
      <c r="Z35" s="35"/>
      <c r="AA35" s="35"/>
      <c r="AB35" s="35"/>
      <c r="AC35" s="35"/>
    </row>
    <row r="36" spans="1:30">
      <c r="A36" s="27" t="str">
        <f>+'2x2 MIX'!F34</f>
        <v>Volare oooh</v>
      </c>
      <c r="B36" s="24" cm="1">
        <f t="array" ref="B36">SUMPRODUCT(--('2x2 MIX'!C$43:C$82 = Standings!A36),--('2x2 MIX'!I$43:I$82&lt;&gt;""))+SUMPRODUCT(--('2x2 MIX'!D$43:D$82 = Standings!A36),--('2x2 MIX'!I$43:I$82&lt;&gt;""))</f>
        <v>0</v>
      </c>
      <c r="C36" s="24" cm="1">
        <f t="array" ref="C36">SUMPRODUCT(--('2x2 MIX'!C$43:C$82 = Standings!A36),--('2x2 MIX'!I$43:I$82&gt;'2x2 MIX'!J$43:J$82))+SUMPRODUCT(--('2x2 MIX'!D$43:D$82 = Standings!A36),--('2x2 MIX'!I$43:I$82&lt;'2x2 MIX'!J$43:J$82))</f>
        <v>0</v>
      </c>
      <c r="D36" s="24">
        <f>+B36-C36-E36</f>
        <v>0</v>
      </c>
      <c r="E36" s="24" cm="1">
        <f t="array" ref="E36">SUMPRODUCT(--('2x2 MIX'!C$43:C$82 = Standings!A36),--('2x2 MIX'!I$43:I$82&lt;'2x2 MIX'!J$43:J$82))+SUMPRODUCT(--('2x2 MIX'!D$43:D$82 = Standings!A36),--('2x2 MIX'!I$43:I$82&gt;'2x2 MIX'!J$43:J$82))</f>
        <v>0</v>
      </c>
      <c r="F36" s="24">
        <f>+SUMIFS('2x2 MIX'!I$43:J$82,'2x2 MIX'!C$43:D$82,Standings!A36)</f>
        <v>0</v>
      </c>
      <c r="G36" s="24" cm="1">
        <f t="array" ref="G36">SUMPRODUCT(--('2x2 MIX'!C$43:C$82=Standings!A36),'2x2 MIX'!J$43:J$82)+SUMPRODUCT(--('2x2 MIX'!D$43:D$82=Standings!A36),'2x2 MIX'!I$43:I$82)</f>
        <v>0</v>
      </c>
      <c r="H36" s="24">
        <f>+C36*2+D36*1</f>
        <v>0</v>
      </c>
      <c r="I36" s="28" t="e">
        <f>+F36/G36</f>
        <v>#DIV/0!</v>
      </c>
      <c r="K36" s="35"/>
      <c r="L36" s="36"/>
      <c r="M36" s="36"/>
      <c r="N36" s="36"/>
      <c r="O36" s="36"/>
      <c r="P36" s="36"/>
      <c r="Q36" s="36"/>
      <c r="R36" s="36"/>
      <c r="S36" s="36"/>
      <c r="U36" s="35"/>
      <c r="V36" s="36"/>
      <c r="W36" s="36"/>
      <c r="X36" s="36"/>
      <c r="Y36" s="36"/>
      <c r="Z36" s="36"/>
      <c r="AA36" s="36"/>
      <c r="AB36" s="36"/>
      <c r="AC36" s="36"/>
    </row>
    <row r="37" spans="1:30">
      <c r="A37" s="27" t="str">
        <f>+'2x2 MIX'!F35</f>
        <v>EFSA 5</v>
      </c>
      <c r="B37" s="24" cm="1">
        <f t="array" ref="B37">SUMPRODUCT(--('2x2 MIX'!C$43:C$82 = Standings!A37),--('2x2 MIX'!I$43:I$82&lt;&gt;""))+SUMPRODUCT(--('2x2 MIX'!D$43:D$82 = Standings!A37),--('2x2 MIX'!I$43:I$82&lt;&gt;""))</f>
        <v>0</v>
      </c>
      <c r="C37" s="24" cm="1">
        <f t="array" ref="C37">SUMPRODUCT(--('2x2 MIX'!C$43:C$82 = Standings!A37),--('2x2 MIX'!I$43:I$82&gt;'2x2 MIX'!J$43:J$82))+SUMPRODUCT(--('2x2 MIX'!D$43:D$82 = Standings!A37),--('2x2 MIX'!I$43:I$82&lt;'2x2 MIX'!J$43:J$82))</f>
        <v>0</v>
      </c>
      <c r="D37" s="24">
        <f t="shared" ref="D37:D38" si="18">+B37-C37-E37</f>
        <v>0</v>
      </c>
      <c r="E37" s="24" cm="1">
        <f t="array" ref="E37">SUMPRODUCT(--('2x2 MIX'!C$43:C$82 = Standings!A37),--('2x2 MIX'!I$43:I$82&lt;'2x2 MIX'!J$43:J$82))+SUMPRODUCT(--('2x2 MIX'!D$43:D$82 = Standings!A37),--('2x2 MIX'!I$43:I$82&gt;'2x2 MIX'!J$43:J$82))</f>
        <v>0</v>
      </c>
      <c r="F37" s="24">
        <f>+SUMIFS('2x2 MIX'!I$43:J$82,'2x2 MIX'!C$43:D$82,Standings!A37)</f>
        <v>0</v>
      </c>
      <c r="G37" s="24" cm="1">
        <f t="array" ref="G37">SUMPRODUCT(--('2x2 MIX'!C$43:C$82=Standings!A37),'2x2 MIX'!J$43:J$82)+SUMPRODUCT(--('2x2 MIX'!D$43:D$82=Standings!A37),'2x2 MIX'!I$43:I$82)</f>
        <v>0</v>
      </c>
      <c r="H37" s="24">
        <f t="shared" ref="H37:H38" si="19">+C37*2+D37*1</f>
        <v>0</v>
      </c>
      <c r="I37" s="28" t="e">
        <f t="shared" ref="I37:I38" si="20">+F37/G37</f>
        <v>#DIV/0!</v>
      </c>
      <c r="K37" s="35"/>
      <c r="L37" s="36"/>
      <c r="M37" s="36"/>
      <c r="N37" s="36"/>
      <c r="O37" s="36"/>
      <c r="P37" s="36"/>
      <c r="Q37" s="36"/>
      <c r="R37" s="36"/>
      <c r="S37" s="36"/>
      <c r="U37" s="35"/>
      <c r="V37" s="36"/>
      <c r="W37" s="36"/>
      <c r="X37" s="36"/>
      <c r="Y37" s="36"/>
      <c r="Z37" s="36"/>
      <c r="AA37" s="36"/>
      <c r="AB37" s="36"/>
      <c r="AC37" s="36"/>
    </row>
    <row r="38" spans="1:30">
      <c r="A38" s="27" t="str">
        <f>+'2x2 MIX'!F36</f>
        <v>BBB</v>
      </c>
      <c r="B38" s="24" cm="1">
        <f t="array" ref="B38">SUMPRODUCT(--('2x2 MIX'!C$43:C$82 = Standings!A38),--('2x2 MIX'!I$43:I$82&lt;&gt;""))+SUMPRODUCT(--('2x2 MIX'!D$43:D$82 = Standings!A38),--('2x2 MIX'!I$43:I$82&lt;&gt;""))</f>
        <v>0</v>
      </c>
      <c r="C38" s="24" cm="1">
        <f t="array" ref="C38">SUMPRODUCT(--('2x2 MIX'!C$43:C$82 = Standings!A38),--('2x2 MIX'!I$43:I$82&gt;'2x2 MIX'!J$43:J$82))+SUMPRODUCT(--('2x2 MIX'!D$43:D$82 = Standings!A38),--('2x2 MIX'!I$43:I$82&lt;'2x2 MIX'!J$43:J$82))</f>
        <v>0</v>
      </c>
      <c r="D38" s="24">
        <f t="shared" si="18"/>
        <v>0</v>
      </c>
      <c r="E38" s="24" cm="1">
        <f t="array" ref="E38">SUMPRODUCT(--('2x2 MIX'!C$43:C$82 = Standings!A38),--('2x2 MIX'!I$43:I$82&lt;'2x2 MIX'!J$43:J$82))+SUMPRODUCT(--('2x2 MIX'!D$43:D$82 = Standings!A38),--('2x2 MIX'!I$43:I$82&gt;'2x2 MIX'!J$43:J$82))</f>
        <v>0</v>
      </c>
      <c r="F38" s="24">
        <f>+SUMIFS('2x2 MIX'!I$43:J$82,'2x2 MIX'!C$43:D$82,Standings!A38)</f>
        <v>0</v>
      </c>
      <c r="G38" s="24" cm="1">
        <f t="array" ref="G38">SUMPRODUCT(--('2x2 MIX'!C$43:C$82=Standings!A38),'2x2 MIX'!J$43:J$82)+SUMPRODUCT(--('2x2 MIX'!D$43:D$82=Standings!A38),'2x2 MIX'!I$43:I$82)</f>
        <v>0</v>
      </c>
      <c r="H38" s="24">
        <f t="shared" si="19"/>
        <v>0</v>
      </c>
      <c r="I38" s="28" t="e">
        <f t="shared" si="20"/>
        <v>#DIV/0!</v>
      </c>
      <c r="K38" s="35"/>
      <c r="L38" s="36"/>
      <c r="M38" s="36"/>
      <c r="N38" s="36"/>
      <c r="O38" s="36"/>
      <c r="P38" s="36"/>
      <c r="Q38" s="36"/>
      <c r="R38" s="36"/>
      <c r="S38" s="36"/>
      <c r="U38" s="35"/>
      <c r="V38" s="36"/>
      <c r="W38" s="36"/>
      <c r="X38" s="36"/>
      <c r="Y38" s="36"/>
      <c r="Z38" s="36"/>
      <c r="AA38" s="36"/>
      <c r="AB38" s="36"/>
      <c r="AC38" s="36"/>
    </row>
    <row r="39" spans="1:30">
      <c r="A39" s="32" t="str">
        <f>+'2x2 MIX'!F37</f>
        <v>Sandbox players</v>
      </c>
      <c r="B39" s="24" cm="1">
        <f t="array" ref="B39">SUMPRODUCT(--('2x2 MIX'!C$43:C$82 = Standings!A39),--('2x2 MIX'!I$43:I$82&lt;&gt;""))+SUMPRODUCT(--('2x2 MIX'!D$43:D$82 = Standings!A39),--('2x2 MIX'!I$43:I$82&lt;&gt;""))</f>
        <v>0</v>
      </c>
      <c r="C39" s="24" cm="1">
        <f t="array" ref="C39">SUMPRODUCT(--('2x2 MIX'!C$43:C$82 = Standings!A39),--('2x2 MIX'!I$43:I$82&gt;'2x2 MIX'!J$43:J$82))+SUMPRODUCT(--('2x2 MIX'!D$43:D$82 = Standings!A39),--('2x2 MIX'!I$43:I$82&lt;'2x2 MIX'!J$43:J$82))</f>
        <v>0</v>
      </c>
      <c r="D39" s="24">
        <f t="shared" ref="D39" si="21">+B39-C39-E39</f>
        <v>0</v>
      </c>
      <c r="E39" s="24" cm="1">
        <f t="array" ref="E39">SUMPRODUCT(--('2x2 MIX'!C$43:C$82 = Standings!A39),--('2x2 MIX'!I$43:I$82&lt;'2x2 MIX'!J$43:J$82))+SUMPRODUCT(--('2x2 MIX'!D$43:D$82 = Standings!A39),--('2x2 MIX'!I$43:I$82&gt;'2x2 MIX'!J$43:J$82))</f>
        <v>0</v>
      </c>
      <c r="F39" s="24">
        <f>+SUMIFS('2x2 MIX'!I$43:J$82,'2x2 MIX'!C$43:D$82,Standings!A39)</f>
        <v>0</v>
      </c>
      <c r="G39" s="24" cm="1">
        <f t="array" ref="G39">SUMPRODUCT(--('2x2 MIX'!C$43:C$82=Standings!A39),'2x2 MIX'!J$43:J$82)+SUMPRODUCT(--('2x2 MIX'!D$43:D$82=Standings!A39),'2x2 MIX'!I$43:I$82)</f>
        <v>0</v>
      </c>
      <c r="H39" s="24">
        <f t="shared" ref="H39" si="22">+C39*2+D39*1</f>
        <v>0</v>
      </c>
      <c r="I39" s="28" t="e">
        <f t="shared" ref="I39" si="23">+F39/G39</f>
        <v>#DIV/0!</v>
      </c>
      <c r="K39" s="35"/>
      <c r="L39" s="36"/>
      <c r="M39" s="36"/>
      <c r="N39" s="36"/>
      <c r="O39" s="36"/>
      <c r="P39" s="36"/>
      <c r="Q39" s="36"/>
      <c r="R39" s="36"/>
      <c r="S39" s="36"/>
      <c r="U39" s="35"/>
      <c r="V39" s="36"/>
      <c r="W39" s="36"/>
      <c r="X39" s="36"/>
      <c r="Y39" s="36"/>
      <c r="Z39" s="36"/>
      <c r="AA39" s="36"/>
      <c r="AB39" s="36"/>
      <c r="AC39" s="36"/>
    </row>
    <row r="42" spans="1:30" ht="24">
      <c r="A42" s="26" t="s">
        <v>172</v>
      </c>
    </row>
    <row r="44" spans="1:30">
      <c r="A44" s="29" t="s">
        <v>191</v>
      </c>
      <c r="B44" s="30" t="s">
        <v>186</v>
      </c>
      <c r="C44" s="30" t="s">
        <v>197</v>
      </c>
      <c r="D44" s="30" t="s">
        <v>187</v>
      </c>
      <c r="E44" s="30" t="s">
        <v>198</v>
      </c>
      <c r="F44" s="30" t="s">
        <v>188</v>
      </c>
      <c r="G44" s="30" t="s">
        <v>189</v>
      </c>
      <c r="H44" s="30" t="s">
        <v>185</v>
      </c>
      <c r="I44" s="31" t="s">
        <v>190</v>
      </c>
    </row>
    <row r="45" spans="1:30">
      <c r="A45" s="27" t="str">
        <f>+'2x2M'!A24</f>
        <v>Too hot for indoor</v>
      </c>
      <c r="B45" s="24" cm="1">
        <f t="array" ref="B45">SUMPRODUCT(--('2x2M'!C$31:C$48=Standings!A45),--('2x2M'!I$31:I$48&lt;&gt;""))+SUMPRODUCT(--('2x2M'!D$31:D$48=Standings!A45),--('2x2M'!J$31:J$48&lt;&gt;""))</f>
        <v>0</v>
      </c>
      <c r="C45" s="24" cm="1">
        <f t="array" ref="C45">SUMPRODUCT(--('2x2M'!C$31:C$48 = Standings!A45),--('2x2M'!I$31:I$48&gt;'2x2M'!J$31:J$48))+SUMPRODUCT(--('2x2M'!D$31:D$48 = Standings!A45),--('2x2M'!I$31:I$48&lt;'2x2M'!J$31:J$48))</f>
        <v>0</v>
      </c>
      <c r="D45" s="24">
        <f>+B45-C45-E45</f>
        <v>0</v>
      </c>
      <c r="E45" s="24" cm="1">
        <f t="array" ref="E45">SUMPRODUCT(--('2x2M'!C$31:C$48 = Standings!A45),--('2x2M'!I$31:I$48&lt;'2x2M'!J$31:J$48))+SUMPRODUCT(--('2x2M'!D$31:D$48 = Standings!A45),--('2x2M'!I$31:I$48&gt;'2x2M'!J$31:J$48))</f>
        <v>0</v>
      </c>
      <c r="F45" s="24">
        <f>+SUMIFS('2x2M'!I$31:J$48,'2x2M'!C$31:D$48,Standings!A45)</f>
        <v>0</v>
      </c>
      <c r="G45" s="24" cm="1">
        <f t="array" ref="G45">SUMPRODUCT(--('2x2M'!C$31:C$48=Standings!A45),'2x2M'!J$31:J$48)+SUMPRODUCT(--('2x2M'!D$31:D$48=Standings!A45),'2x2M'!I$31:I$48)</f>
        <v>0</v>
      </c>
      <c r="H45" s="24">
        <f>2*(C45*2+D45*1)/3</f>
        <v>0</v>
      </c>
      <c r="I45" s="28" t="e">
        <f>+F45/G45</f>
        <v>#DIV/0!</v>
      </c>
    </row>
    <row r="46" spans="1:30">
      <c r="A46" s="27" t="str">
        <f>+'2x2M'!A25</f>
        <v>Chill-out</v>
      </c>
      <c r="B46" s="24" cm="1">
        <f t="array" ref="B46">SUMPRODUCT(--('2x2M'!C$31:C$48=Standings!A46),--('2x2M'!I$31:I$48&lt;&gt;""))+SUMPRODUCT(--('2x2M'!D$31:D$48=Standings!A46),--('2x2M'!J$31:J$48&lt;&gt;""))</f>
        <v>0</v>
      </c>
      <c r="C46" s="24" cm="1">
        <f t="array" ref="C46">SUMPRODUCT(--('2x2M'!C$31:C$48 = Standings!A46),--('2x2M'!I$31:I$48&gt;'2x2M'!J$31:J$48))+SUMPRODUCT(--('2x2M'!D$31:D$48 = Standings!A46),--('2x2M'!I$31:I$48&lt;'2x2M'!J$31:J$48))</f>
        <v>0</v>
      </c>
      <c r="D46" s="24">
        <f t="shared" ref="D46:D48" si="24">+B46-C46-E46</f>
        <v>0</v>
      </c>
      <c r="E46" s="24" cm="1">
        <f t="array" ref="E46">SUMPRODUCT(--('2x2M'!C$31:C$48 = Standings!A46),--('2x2M'!I$31:I$48&lt;'2x2M'!J$31:J$48))+SUMPRODUCT(--('2x2M'!D$31:D$48 = Standings!A46),--('2x2M'!I$31:I$48&gt;'2x2M'!J$31:J$48))</f>
        <v>0</v>
      </c>
      <c r="F46" s="24">
        <f>+SUMIFS('2x2M'!I$31:J$48,'2x2M'!C$31:D$48,Standings!A46)</f>
        <v>0</v>
      </c>
      <c r="G46" s="24" cm="1">
        <f t="array" ref="G46">SUMPRODUCT(--('2x2M'!C$31:C$48=Standings!A46),'2x2M'!J$31:J$48)+SUMPRODUCT(--('2x2M'!D$31:D$48=Standings!A46),'2x2M'!I$31:I$48)</f>
        <v>0</v>
      </c>
      <c r="H46" s="24">
        <f t="shared" ref="H46:H48" si="25">2*(C46*2+D46*1)/3</f>
        <v>0</v>
      </c>
      <c r="I46" s="28" t="e">
        <f t="shared" ref="I46:I48" si="26">+F46/G46</f>
        <v>#DIV/0!</v>
      </c>
    </row>
    <row r="47" spans="1:30">
      <c r="A47" s="27" t="str">
        <f>+'2x2M'!A26</f>
        <v>EFSA 2</v>
      </c>
      <c r="B47" s="24" cm="1">
        <f t="array" ref="B47">SUMPRODUCT(--('2x2M'!C$31:C$48=Standings!A47),--('2x2M'!I$31:I$48&lt;&gt;""))+SUMPRODUCT(--('2x2M'!D$31:D$48=Standings!A47),--('2x2M'!J$31:J$48&lt;&gt;""))</f>
        <v>0</v>
      </c>
      <c r="C47" s="24" cm="1">
        <f t="array" ref="C47">SUMPRODUCT(--('2x2M'!C$31:C$48 = Standings!A47),--('2x2M'!I$31:I$48&gt;'2x2M'!J$31:J$48))+SUMPRODUCT(--('2x2M'!D$31:D$48 = Standings!A47),--('2x2M'!I$31:I$48&lt;'2x2M'!J$31:J$48))</f>
        <v>0</v>
      </c>
      <c r="D47" s="24">
        <f t="shared" si="24"/>
        <v>0</v>
      </c>
      <c r="E47" s="24" cm="1">
        <f t="array" ref="E47">SUMPRODUCT(--('2x2M'!C$31:C$48 = Standings!A47),--('2x2M'!I$31:I$48&lt;'2x2M'!J$31:J$48))+SUMPRODUCT(--('2x2M'!D$31:D$48 = Standings!A47),--('2x2M'!I$31:I$48&gt;'2x2M'!J$31:J$48))</f>
        <v>0</v>
      </c>
      <c r="F47" s="24">
        <f>+SUMIFS('2x2M'!I$31:J$48,'2x2M'!C$31:D$48,Standings!A47)</f>
        <v>0</v>
      </c>
      <c r="G47" s="24" cm="1">
        <f t="array" ref="G47">SUMPRODUCT(--('2x2M'!C$31:C$48=Standings!A47),'2x2M'!J$31:J$48)+SUMPRODUCT(--('2x2M'!D$31:D$48=Standings!A47),'2x2M'!I$31:I$48)</f>
        <v>0</v>
      </c>
      <c r="H47" s="24">
        <f t="shared" si="25"/>
        <v>0</v>
      </c>
      <c r="I47" s="28" t="e">
        <f t="shared" si="26"/>
        <v>#DIV/0!</v>
      </c>
    </row>
    <row r="48" spans="1:30">
      <c r="A48" s="27" t="str">
        <f>+'2x2M'!A27</f>
        <v>Valletta's Tritons</v>
      </c>
      <c r="B48" s="24" cm="1">
        <f t="array" ref="B48">SUMPRODUCT(--('2x2M'!C$31:C$48=Standings!A48),--('2x2M'!I$31:I$48&lt;&gt;""))+SUMPRODUCT(--('2x2M'!D$31:D$48=Standings!A48),--('2x2M'!J$31:J$48&lt;&gt;""))</f>
        <v>0</v>
      </c>
      <c r="C48" s="24" cm="1">
        <f t="array" ref="C48">SUMPRODUCT(--('2x2M'!C$31:C$48 = Standings!A48),--('2x2M'!I$31:I$48&gt;'2x2M'!J$31:J$48))+SUMPRODUCT(--('2x2M'!D$31:D$48 = Standings!A48),--('2x2M'!I$31:I$48&lt;'2x2M'!J$31:J$48))</f>
        <v>0</v>
      </c>
      <c r="D48" s="24">
        <f t="shared" si="24"/>
        <v>0</v>
      </c>
      <c r="E48" s="24" cm="1">
        <f t="array" ref="E48">SUMPRODUCT(--('2x2M'!C$31:C$48 = Standings!A48),--('2x2M'!I$31:I$48&lt;'2x2M'!J$31:J$48))+SUMPRODUCT(--('2x2M'!D$31:D$48 = Standings!A48),--('2x2M'!I$31:I$48&gt;'2x2M'!J$31:J$48))</f>
        <v>0</v>
      </c>
      <c r="F48" s="24">
        <f>+SUMIFS('2x2M'!I$31:J$48,'2x2M'!C$31:D$48,Standings!A48)</f>
        <v>0</v>
      </c>
      <c r="G48" s="24" cm="1">
        <f t="array" ref="G48">SUMPRODUCT(--('2x2M'!C$31:C$48=Standings!A48),'2x2M'!J$31:J$48)+SUMPRODUCT(--('2x2M'!D$31:D$48=Standings!A48),'2x2M'!I$31:I$48)</f>
        <v>0</v>
      </c>
      <c r="H48" s="24">
        <f t="shared" si="25"/>
        <v>0</v>
      </c>
      <c r="I48" s="28" t="e">
        <f t="shared" si="26"/>
        <v>#DIV/0!</v>
      </c>
    </row>
    <row r="49" spans="1:9">
      <c r="A49" s="32"/>
      <c r="B49" s="33"/>
      <c r="C49" s="33"/>
      <c r="D49" s="33"/>
      <c r="E49" s="33"/>
      <c r="F49" s="33"/>
      <c r="G49" s="33"/>
      <c r="H49" s="33"/>
      <c r="I49" s="34"/>
    </row>
    <row r="51" spans="1:9">
      <c r="A51" s="29" t="s">
        <v>192</v>
      </c>
      <c r="B51" s="30" t="s">
        <v>186</v>
      </c>
      <c r="C51" s="30" t="s">
        <v>197</v>
      </c>
      <c r="D51" s="30" t="s">
        <v>187</v>
      </c>
      <c r="E51" s="30" t="s">
        <v>198</v>
      </c>
      <c r="F51" s="30" t="s">
        <v>188</v>
      </c>
      <c r="G51" s="30" t="s">
        <v>189</v>
      </c>
      <c r="H51" s="30" t="s">
        <v>185</v>
      </c>
      <c r="I51" s="31" t="s">
        <v>190</v>
      </c>
    </row>
    <row r="52" spans="1:9">
      <c r="A52" s="27" t="str">
        <f>+'2x2M'!B24</f>
        <v>Europol 2x2 men</v>
      </c>
      <c r="B52" s="24" cm="1">
        <f t="array" ref="B52">SUMPRODUCT(--('2x2M'!C$31:C$48=Standings!A52),--('2x2M'!I$31:I$48&lt;&gt;""))+SUMPRODUCT(--('2x2M'!D$31:D$48=Standings!A52),--('2x2M'!J$31:J$48&lt;&gt;""))</f>
        <v>0</v>
      </c>
      <c r="C52" s="24" cm="1">
        <f t="array" ref="C52">SUMPRODUCT(--('2x2M'!C$31:C$48 = Standings!A52),--('2x2M'!I$31:I$48&gt;'2x2M'!J$31:J$48))+SUMPRODUCT(--('2x2M'!D$31:D$48 = Standings!A52),--('2x2M'!I$31:I$48&lt;'2x2M'!J$31:J$48))</f>
        <v>0</v>
      </c>
      <c r="D52" s="24">
        <f>+B52-C52-E52</f>
        <v>0</v>
      </c>
      <c r="E52" s="24" cm="1">
        <f t="array" ref="E52">SUMPRODUCT(--('2x2M'!C$31:C$48 = Standings!A52),--('2x2M'!I$31:I$48&lt;'2x2M'!J$31:J$48))+SUMPRODUCT(--('2x2M'!D$31:D$48 = Standings!A52),--('2x2M'!I$31:I$48&gt;'2x2M'!J$31:J$48))</f>
        <v>0</v>
      </c>
      <c r="F52" s="24">
        <f>+SUMIFS('2x2M'!I$31:J$48,'2x2M'!C$31:D$48,Standings!A52)</f>
        <v>0</v>
      </c>
      <c r="G52" s="24" cm="1">
        <f t="array" ref="G52">SUMPRODUCT(--('2x2M'!C$31:C$48=Standings!A52),'2x2M'!J$31:J$48)+SUMPRODUCT(--('2x2M'!D$31:D$48=Standings!A52),'2x2M'!I$31:I$48)</f>
        <v>0</v>
      </c>
      <c r="H52" s="24">
        <f>2*(C52*2+D52*1)/3</f>
        <v>0</v>
      </c>
      <c r="I52" s="28" t="e">
        <f>+F52/G52</f>
        <v>#DIV/0!</v>
      </c>
    </row>
    <row r="53" spans="1:9">
      <c r="A53" s="27" t="str">
        <f>+'2x2M'!B25</f>
        <v>Ballbreakers</v>
      </c>
      <c r="B53" s="24" cm="1">
        <f t="array" ref="B53">SUMPRODUCT(--('2x2M'!C$31:C$48=Standings!A53),--('2x2M'!I$31:I$48&lt;&gt;""))+SUMPRODUCT(--('2x2M'!D$31:D$48=Standings!A53),--('2x2M'!J$31:J$48&lt;&gt;""))</f>
        <v>0</v>
      </c>
      <c r="C53" s="24" cm="1">
        <f t="array" ref="C53">SUMPRODUCT(--('2x2M'!C$31:C$48 = Standings!A53),--('2x2M'!I$31:I$48&gt;'2x2M'!J$31:J$48))+SUMPRODUCT(--('2x2M'!D$31:D$48 = Standings!A53),--('2x2M'!I$31:I$48&lt;'2x2M'!J$31:J$48))</f>
        <v>0</v>
      </c>
      <c r="D53" s="24">
        <f t="shared" ref="D53:D55" si="27">+B53-C53-E53</f>
        <v>0</v>
      </c>
      <c r="E53" s="24" cm="1">
        <f t="array" ref="E53">SUMPRODUCT(--('2x2M'!C$31:C$48 = Standings!A53),--('2x2M'!I$31:I$48&lt;'2x2M'!J$31:J$48))+SUMPRODUCT(--('2x2M'!D$31:D$48 = Standings!A53),--('2x2M'!I$31:I$48&gt;'2x2M'!J$31:J$48))</f>
        <v>0</v>
      </c>
      <c r="F53" s="24">
        <f>+SUMIFS('2x2M'!I$31:J$48,'2x2M'!C$31:D$48,Standings!A53)</f>
        <v>0</v>
      </c>
      <c r="G53" s="24" cm="1">
        <f t="array" ref="G53">SUMPRODUCT(--('2x2M'!C$31:C$48=Standings!A53),'2x2M'!J$31:J$48)+SUMPRODUCT(--('2x2M'!D$31:D$48=Standings!A53),'2x2M'!I$31:I$48)</f>
        <v>0</v>
      </c>
      <c r="H53" s="24">
        <f t="shared" ref="H53:H55" si="28">2*(C53*2+D53*1)/3</f>
        <v>0</v>
      </c>
      <c r="I53" s="28" t="e">
        <f t="shared" ref="I53:I55" si="29">+F53/G53</f>
        <v>#DIV/0!</v>
      </c>
    </row>
    <row r="54" spans="1:9">
      <c r="A54" s="27" t="str">
        <f>+'2x2M'!B26</f>
        <v>JRC 3</v>
      </c>
      <c r="B54" s="24" cm="1">
        <f t="array" ref="B54">SUMPRODUCT(--('2x2M'!C$31:C$48=Standings!A54),--('2x2M'!I$31:I$48&lt;&gt;""))+SUMPRODUCT(--('2x2M'!D$31:D$48=Standings!A54),--('2x2M'!J$31:J$48&lt;&gt;""))</f>
        <v>0</v>
      </c>
      <c r="C54" s="24" cm="1">
        <f t="array" ref="C54">SUMPRODUCT(--('2x2M'!C$31:C$48 = Standings!A54),--('2x2M'!I$31:I$48&gt;'2x2M'!J$31:J$48))+SUMPRODUCT(--('2x2M'!D$31:D$48 = Standings!A54),--('2x2M'!I$31:I$48&lt;'2x2M'!J$31:J$48))</f>
        <v>0</v>
      </c>
      <c r="D54" s="24">
        <f t="shared" si="27"/>
        <v>0</v>
      </c>
      <c r="E54" s="24" cm="1">
        <f t="array" ref="E54">SUMPRODUCT(--('2x2M'!C$31:C$48 = Standings!A54),--('2x2M'!I$31:I$48&lt;'2x2M'!J$31:J$48))+SUMPRODUCT(--('2x2M'!D$31:D$48 = Standings!A54),--('2x2M'!I$31:I$48&gt;'2x2M'!J$31:J$48))</f>
        <v>0</v>
      </c>
      <c r="F54" s="24">
        <f>+SUMIFS('2x2M'!I$31:J$48,'2x2M'!C$31:D$48,Standings!A54)</f>
        <v>0</v>
      </c>
      <c r="G54" s="24" cm="1">
        <f t="array" ref="G54">SUMPRODUCT(--('2x2M'!C$31:C$48=Standings!A54),'2x2M'!J$31:J$48)+SUMPRODUCT(--('2x2M'!D$31:D$48=Standings!A54),'2x2M'!I$31:I$48)</f>
        <v>0</v>
      </c>
      <c r="H54" s="24">
        <f t="shared" si="28"/>
        <v>0</v>
      </c>
      <c r="I54" s="28" t="e">
        <f t="shared" si="29"/>
        <v>#DIV/0!</v>
      </c>
    </row>
    <row r="55" spans="1:9">
      <c r="A55" s="27" t="str">
        <f>+'2x2M'!B27</f>
        <v>Beach control</v>
      </c>
      <c r="B55" s="24" cm="1">
        <f t="array" ref="B55">SUMPRODUCT(--('2x2M'!C$31:C$48=Standings!A55),--('2x2M'!I$31:I$48&lt;&gt;""))+SUMPRODUCT(--('2x2M'!D$31:D$48=Standings!A55),--('2x2M'!J$31:J$48&lt;&gt;""))</f>
        <v>0</v>
      </c>
      <c r="C55" s="24" cm="1">
        <f t="array" ref="C55">SUMPRODUCT(--('2x2M'!C$31:C$48 = Standings!A55),--('2x2M'!I$31:I$48&gt;'2x2M'!J$31:J$48))+SUMPRODUCT(--('2x2M'!D$31:D$48 = Standings!A55),--('2x2M'!I$31:I$48&lt;'2x2M'!J$31:J$48))</f>
        <v>0</v>
      </c>
      <c r="D55" s="24">
        <f t="shared" si="27"/>
        <v>0</v>
      </c>
      <c r="E55" s="24" cm="1">
        <f t="array" ref="E55">SUMPRODUCT(--('2x2M'!C$31:C$48 = Standings!A55),--('2x2M'!I$31:I$48&lt;'2x2M'!J$31:J$48))+SUMPRODUCT(--('2x2M'!D$31:D$48 = Standings!A55),--('2x2M'!I$31:I$48&gt;'2x2M'!J$31:J$48))</f>
        <v>0</v>
      </c>
      <c r="F55" s="24">
        <f>+SUMIFS('2x2M'!I$31:J$48,'2x2M'!C$31:D$48,Standings!A55)</f>
        <v>0</v>
      </c>
      <c r="G55" s="24" cm="1">
        <f t="array" ref="G55">SUMPRODUCT(--('2x2M'!C$31:C$48=Standings!A55),'2x2M'!J$31:J$48)+SUMPRODUCT(--('2x2M'!D$31:D$48=Standings!A55),'2x2M'!I$31:I$48)</f>
        <v>0</v>
      </c>
      <c r="H55" s="24">
        <f t="shared" si="28"/>
        <v>0</v>
      </c>
      <c r="I55" s="28" t="e">
        <f t="shared" si="29"/>
        <v>#DIV/0!</v>
      </c>
    </row>
    <row r="57" spans="1:9">
      <c r="A57" s="29" t="s">
        <v>193</v>
      </c>
      <c r="B57" s="30" t="s">
        <v>186</v>
      </c>
      <c r="C57" s="30" t="s">
        <v>197</v>
      </c>
      <c r="D57" s="30" t="s">
        <v>187</v>
      </c>
      <c r="E57" s="30" t="s">
        <v>198</v>
      </c>
      <c r="F57" s="30" t="s">
        <v>188</v>
      </c>
      <c r="G57" s="30" t="s">
        <v>189</v>
      </c>
      <c r="H57" s="30" t="s">
        <v>185</v>
      </c>
      <c r="I57" s="31" t="s">
        <v>190</v>
      </c>
    </row>
    <row r="58" spans="1:9">
      <c r="A58" s="27" t="str">
        <f>+'2x2M'!C24</f>
        <v>Bacalhau&amp;porchetta</v>
      </c>
      <c r="B58" s="24" cm="1">
        <f t="array" ref="B58">SUMPRODUCT(--('2x2M'!C$31:C$48=Standings!A58),--('2x2M'!I$31:I$48&lt;&gt;""))+SUMPRODUCT(--('2x2M'!D$31:D$48=Standings!A58),--('2x2M'!J$31:J$48&lt;&gt;""))</f>
        <v>0</v>
      </c>
      <c r="C58" s="24" cm="1">
        <f t="array" ref="C58">SUMPRODUCT(--('2x2M'!C$31:C$48 = Standings!A58),--('2x2M'!I$31:I$48&gt;'2x2M'!J$31:J$48))+SUMPRODUCT(--('2x2M'!D$31:D$48 = Standings!A58),--('2x2M'!I$31:I$48&lt;'2x2M'!J$31:J$48))</f>
        <v>0</v>
      </c>
      <c r="D58" s="24">
        <f t="shared" ref="D58:D60" si="30">+B58-C58-E58</f>
        <v>0</v>
      </c>
      <c r="E58" s="24" cm="1">
        <f t="array" ref="E58">SUMPRODUCT(--('2x2M'!C$31:C$48 = Standings!A58),--('2x2M'!I$31:I$48&lt;'2x2M'!J$31:J$48))+SUMPRODUCT(--('2x2M'!D$31:D$48 = Standings!A58),--('2x2M'!I$31:I$48&gt;'2x2M'!J$31:J$48))</f>
        <v>0</v>
      </c>
      <c r="F58" s="24">
        <f>+SUMIFS('2x2M'!I$31:J$48,'2x2M'!C$31:D$48,Standings!A58)</f>
        <v>0</v>
      </c>
      <c r="G58" s="24" cm="1">
        <f t="array" ref="G58">SUMPRODUCT(--('2x2M'!C$31:C$48=Standings!A58),'2x2M'!J$31:J$48)+SUMPRODUCT(--('2x2M'!D$31:D$48=Standings!A58),'2x2M'!I$31:I$48)</f>
        <v>0</v>
      </c>
      <c r="H58" s="24">
        <f t="shared" ref="H58:H60" si="31">+C58*2+D58*1</f>
        <v>0</v>
      </c>
      <c r="I58" s="28" t="e">
        <f t="shared" ref="I58:I60" si="32">+F58/G58</f>
        <v>#DIV/0!</v>
      </c>
    </row>
    <row r="59" spans="1:9">
      <c r="A59" s="27" t="str">
        <f>+'2x2M'!C25</f>
        <v>DP's</v>
      </c>
      <c r="B59" s="24" cm="1">
        <f t="array" ref="B59">SUMPRODUCT(--('2x2M'!C$31:C$48=Standings!A59),--('2x2M'!I$31:I$48&lt;&gt;""))+SUMPRODUCT(--('2x2M'!D$31:D$48=Standings!A59),--('2x2M'!J$31:J$48&lt;&gt;""))</f>
        <v>0</v>
      </c>
      <c r="C59" s="24" cm="1">
        <f t="array" ref="C59">SUMPRODUCT(--('2x2M'!C$31:C$48 = Standings!A59),--('2x2M'!I$31:I$48&gt;'2x2M'!J$31:J$48))+SUMPRODUCT(--('2x2M'!D$31:D$48 = Standings!A59),--('2x2M'!I$31:I$48&lt;'2x2M'!J$31:J$48))</f>
        <v>0</v>
      </c>
      <c r="D59" s="24">
        <f t="shared" si="30"/>
        <v>0</v>
      </c>
      <c r="E59" s="24" cm="1">
        <f t="array" ref="E59">SUMPRODUCT(--('2x2M'!C$31:C$48 = Standings!A59),--('2x2M'!I$31:I$48&lt;'2x2M'!J$31:J$48))+SUMPRODUCT(--('2x2M'!D$31:D$48 = Standings!A59),--('2x2M'!I$31:I$48&gt;'2x2M'!J$31:J$48))</f>
        <v>0</v>
      </c>
      <c r="F59" s="24">
        <f>+SUMIFS('2x2M'!I$31:J$48,'2x2M'!C$31:D$48,Standings!A59)</f>
        <v>0</v>
      </c>
      <c r="G59" s="24" cm="1">
        <f t="array" ref="G59">SUMPRODUCT(--('2x2M'!C$31:C$48=Standings!A59),'2x2M'!J$31:J$48)+SUMPRODUCT(--('2x2M'!D$31:D$48=Standings!A59),'2x2M'!I$31:I$48)</f>
        <v>0</v>
      </c>
      <c r="H59" s="24">
        <f t="shared" si="31"/>
        <v>0</v>
      </c>
      <c r="I59" s="28" t="e">
        <f t="shared" si="32"/>
        <v>#DIV/0!</v>
      </c>
    </row>
    <row r="60" spans="1:9">
      <c r="A60" s="27" t="str">
        <f>+'2x2M'!C26</f>
        <v>I transalpini</v>
      </c>
      <c r="B60" s="24" cm="1">
        <f t="array" ref="B60">SUMPRODUCT(--('2x2M'!C$31:C$48=Standings!A60),--('2x2M'!I$31:I$48&lt;&gt;""))+SUMPRODUCT(--('2x2M'!D$31:D$48=Standings!A60),--('2x2M'!J$31:J$48&lt;&gt;""))</f>
        <v>0</v>
      </c>
      <c r="C60" s="24" cm="1">
        <f t="array" ref="C60">SUMPRODUCT(--('2x2M'!C$31:C$48 = Standings!A60),--('2x2M'!I$31:I$48&gt;'2x2M'!J$31:J$48))+SUMPRODUCT(--('2x2M'!D$31:D$48 = Standings!A60),--('2x2M'!I$31:I$48&lt;'2x2M'!J$31:J$48))</f>
        <v>0</v>
      </c>
      <c r="D60" s="24">
        <f t="shared" si="30"/>
        <v>0</v>
      </c>
      <c r="E60" s="24" cm="1">
        <f t="array" ref="E60">SUMPRODUCT(--('2x2M'!C$31:C$48 = Standings!A60),--('2x2M'!I$31:I$48&lt;'2x2M'!J$31:J$48))+SUMPRODUCT(--('2x2M'!D$31:D$48 = Standings!A60),--('2x2M'!I$31:I$48&gt;'2x2M'!J$31:J$48))</f>
        <v>0</v>
      </c>
      <c r="F60" s="24">
        <f>+SUMIFS('2x2M'!I$31:J$48,'2x2M'!C$31:D$48,Standings!A60)</f>
        <v>0</v>
      </c>
      <c r="G60" s="24" cm="1">
        <f t="array" ref="G60">SUMPRODUCT(--('2x2M'!C$31:C$48=Standings!A60),'2x2M'!J$31:J$48)+SUMPRODUCT(--('2x2M'!D$31:D$48=Standings!A60),'2x2M'!I$31:I$48)</f>
        <v>0</v>
      </c>
      <c r="H60" s="24">
        <f t="shared" si="31"/>
        <v>0</v>
      </c>
      <c r="I60" s="28" t="e">
        <f t="shared" si="32"/>
        <v>#DIV/0!</v>
      </c>
    </row>
    <row r="61" spans="1:9">
      <c r="A61" s="32"/>
      <c r="B61" s="33"/>
      <c r="C61" s="33"/>
      <c r="D61" s="33"/>
      <c r="E61" s="33"/>
      <c r="F61" s="33"/>
      <c r="G61" s="33"/>
      <c r="H61" s="33"/>
      <c r="I61" s="34"/>
    </row>
    <row r="63" spans="1:9">
      <c r="A63" s="29" t="s">
        <v>194</v>
      </c>
      <c r="B63" s="30" t="s">
        <v>186</v>
      </c>
      <c r="C63" s="30" t="s">
        <v>197</v>
      </c>
      <c r="D63" s="30" t="s">
        <v>187</v>
      </c>
      <c r="E63" s="30" t="s">
        <v>198</v>
      </c>
      <c r="F63" s="30" t="s">
        <v>188</v>
      </c>
      <c r="G63" s="30" t="s">
        <v>189</v>
      </c>
      <c r="H63" s="30" t="s">
        <v>185</v>
      </c>
      <c r="I63" s="31" t="s">
        <v>190</v>
      </c>
    </row>
    <row r="64" spans="1:9">
      <c r="A64" s="27" t="str">
        <f>+'2x2M'!D24</f>
        <v>EFSA 1</v>
      </c>
      <c r="B64" s="24" cm="1">
        <f t="array" ref="B64">SUMPRODUCT(--('2x2M'!C$31:C$48=Standings!A64),--('2x2M'!I$31:I$48&lt;&gt;""))+SUMPRODUCT(--('2x2M'!D$31:D$48=Standings!A64),--('2x2M'!J$31:J$48&lt;&gt;""))</f>
        <v>0</v>
      </c>
      <c r="C64" s="24" cm="1">
        <f t="array" ref="C64">SUMPRODUCT(--('2x2M'!C$31:C$48 = Standings!A64),--('2x2M'!I$31:I$48&gt;'2x2M'!J$31:J$48))+SUMPRODUCT(--('2x2M'!D$31:D$48 = Standings!A64),--('2x2M'!I$31:I$48&lt;'2x2M'!J$31:J$48))</f>
        <v>0</v>
      </c>
      <c r="D64" s="24">
        <f t="shared" ref="D64:D66" si="33">+B64-C64-E64</f>
        <v>0</v>
      </c>
      <c r="E64" s="24" cm="1">
        <f t="array" ref="E64">SUMPRODUCT(--('2x2M'!C$31:C$48 = Standings!A64),--('2x2M'!I$31:I$48&lt;'2x2M'!J$31:J$48))+SUMPRODUCT(--('2x2M'!D$31:D$48 = Standings!A64),--('2x2M'!I$31:I$48&gt;'2x2M'!J$31:J$48))</f>
        <v>0</v>
      </c>
      <c r="F64" s="24">
        <f>+SUMIFS('2x2M'!I$31:J$48,'2x2M'!C$31:D$48,Standings!A64)</f>
        <v>0</v>
      </c>
      <c r="G64" s="24" cm="1">
        <f t="array" ref="G64">SUMPRODUCT(--('2x2M'!C$31:C$48=Standings!A64),'2x2M'!J$31:J$48)+SUMPRODUCT(--('2x2M'!D$31:D$48=Standings!A64),'2x2M'!I$31:I$48)</f>
        <v>0</v>
      </c>
      <c r="H64" s="24">
        <f t="shared" ref="H64:H66" si="34">+C64*2+D64*1</f>
        <v>0</v>
      </c>
      <c r="I64" s="28" t="e">
        <f t="shared" ref="I64:I66" si="35">+F64/G64</f>
        <v>#DIV/0!</v>
      </c>
    </row>
    <row r="65" spans="1:9">
      <c r="A65" s="27" t="str">
        <f>+'2x2M'!D25</f>
        <v>Que farà Farà</v>
      </c>
      <c r="B65" s="24" cm="1">
        <f t="array" ref="B65">SUMPRODUCT(--('2x2M'!C$31:C$48=Standings!A65),--('2x2M'!I$31:I$48&lt;&gt;""))+SUMPRODUCT(--('2x2M'!D$31:D$48=Standings!A65),--('2x2M'!J$31:J$48&lt;&gt;""))</f>
        <v>0</v>
      </c>
      <c r="C65" s="24" cm="1">
        <f t="array" ref="C65">SUMPRODUCT(--('2x2M'!C$31:C$48 = Standings!A65),--('2x2M'!I$31:I$48&gt;'2x2M'!J$31:J$48))+SUMPRODUCT(--('2x2M'!D$31:D$48 = Standings!A65),--('2x2M'!I$31:I$48&lt;'2x2M'!J$31:J$48))</f>
        <v>0</v>
      </c>
      <c r="D65" s="24">
        <f t="shared" si="33"/>
        <v>0</v>
      </c>
      <c r="E65" s="24" cm="1">
        <f t="array" ref="E65">SUMPRODUCT(--('2x2M'!C$31:C$48 = Standings!A65),--('2x2M'!I$31:I$48&lt;'2x2M'!J$31:J$48))+SUMPRODUCT(--('2x2M'!D$31:D$48 = Standings!A65),--('2x2M'!I$31:I$48&gt;'2x2M'!J$31:J$48))</f>
        <v>0</v>
      </c>
      <c r="F65" s="24">
        <f>+SUMIFS('2x2M'!I$31:J$48,'2x2M'!C$31:D$48,Standings!A65)</f>
        <v>0</v>
      </c>
      <c r="G65" s="24" cm="1">
        <f t="array" ref="G65">SUMPRODUCT(--('2x2M'!C$31:C$48=Standings!A65),'2x2M'!J$31:J$48)+SUMPRODUCT(--('2x2M'!D$31:D$48=Standings!A65),'2x2M'!I$31:I$48)</f>
        <v>0</v>
      </c>
      <c r="H65" s="24">
        <f t="shared" si="34"/>
        <v>0</v>
      </c>
      <c r="I65" s="28" t="e">
        <f t="shared" si="35"/>
        <v>#DIV/0!</v>
      </c>
    </row>
    <row r="66" spans="1:9">
      <c r="A66" s="27" t="str">
        <f>+'2x2M'!D26</f>
        <v>Dunaj &amp; Wisla</v>
      </c>
      <c r="B66" s="24" cm="1">
        <f t="array" ref="B66">SUMPRODUCT(--('2x2M'!C$31:C$48=Standings!A66),--('2x2M'!I$31:I$48&lt;&gt;""))+SUMPRODUCT(--('2x2M'!D$31:D$48=Standings!A66),--('2x2M'!J$31:J$48&lt;&gt;""))</f>
        <v>0</v>
      </c>
      <c r="C66" s="24" cm="1">
        <f t="array" ref="C66">SUMPRODUCT(--('2x2M'!C$31:C$48 = Standings!A66),--('2x2M'!I$31:I$48&gt;'2x2M'!J$31:J$48))+SUMPRODUCT(--('2x2M'!D$31:D$48 = Standings!A66),--('2x2M'!I$31:I$48&lt;'2x2M'!J$31:J$48))</f>
        <v>0</v>
      </c>
      <c r="D66" s="24">
        <f t="shared" si="33"/>
        <v>0</v>
      </c>
      <c r="E66" s="24" cm="1">
        <f t="array" ref="E66">SUMPRODUCT(--('2x2M'!C$31:C$48 = Standings!A66),--('2x2M'!I$31:I$48&lt;'2x2M'!J$31:J$48))+SUMPRODUCT(--('2x2M'!D$31:D$48 = Standings!A66),--('2x2M'!I$31:I$48&gt;'2x2M'!J$31:J$48))</f>
        <v>0</v>
      </c>
      <c r="F66" s="24">
        <f>+SUMIFS('2x2M'!I$31:J$48,'2x2M'!C$31:D$48,Standings!A66)</f>
        <v>0</v>
      </c>
      <c r="G66" s="24" cm="1">
        <f t="array" ref="G66">SUMPRODUCT(--('2x2M'!C$31:C$48=Standings!A66),'2x2M'!J$31:J$48)+SUMPRODUCT(--('2x2M'!D$31:D$48=Standings!A66),'2x2M'!I$31:I$48)</f>
        <v>0</v>
      </c>
      <c r="H66" s="24">
        <f t="shared" si="34"/>
        <v>0</v>
      </c>
      <c r="I66" s="28" t="e">
        <f t="shared" si="35"/>
        <v>#DIV/0!</v>
      </c>
    </row>
    <row r="67" spans="1:9">
      <c r="A67" s="32"/>
      <c r="B67" s="33"/>
      <c r="C67" s="33"/>
      <c r="D67" s="33"/>
      <c r="E67" s="33"/>
      <c r="F67" s="33"/>
      <c r="G67" s="33"/>
      <c r="H67" s="33"/>
      <c r="I67" s="34"/>
    </row>
    <row r="69" spans="1:9" ht="24">
      <c r="A69" s="26" t="s">
        <v>173</v>
      </c>
    </row>
    <row r="71" spans="1:9">
      <c r="A71" s="29" t="s">
        <v>191</v>
      </c>
      <c r="B71" s="30" t="s">
        <v>186</v>
      </c>
      <c r="C71" s="30" t="s">
        <v>197</v>
      </c>
      <c r="D71" s="30" t="s">
        <v>187</v>
      </c>
      <c r="E71" s="30" t="s">
        <v>198</v>
      </c>
      <c r="F71" s="30" t="s">
        <v>188</v>
      </c>
      <c r="G71" s="30" t="s">
        <v>189</v>
      </c>
      <c r="H71" s="30" t="s">
        <v>185</v>
      </c>
      <c r="I71" s="31" t="s">
        <v>190</v>
      </c>
    </row>
    <row r="72" spans="1:9">
      <c r="A72" s="27" t="str">
        <f>+'2x2F'!A21</f>
        <v>ITAegean</v>
      </c>
      <c r="B72" s="24" cm="1">
        <f t="array" ref="B72">SUMPRODUCT(--('2x2F'!C$28:C$42=Standings!A72),--('2x2F'!I$28:I$42&lt;&gt;""))+SUMPRODUCT(--('2x2F'!D$28:D$42=Standings!A72),--('2x2F'!J$28:J$42&lt;&gt;""))</f>
        <v>0</v>
      </c>
      <c r="C72" s="24" cm="1">
        <f t="array" ref="C72">SUMPRODUCT(--('2x2F'!C$28:C$42 = Standings!A72),--('2x2F'!I$28:I$42&gt;'2x2F'!J$28:J$42))+SUMPRODUCT(--('2x2F'!D$28:D$42 = Standings!A72),--('2x2F'!I$28:I$42&lt;'2x2F'!J$28:J$42))</f>
        <v>0</v>
      </c>
      <c r="D72" s="24">
        <f>+B72-C72-E72</f>
        <v>0</v>
      </c>
      <c r="E72" s="24" cm="1">
        <f t="array" ref="E72">SUMPRODUCT(--('2x2F'!C$28:C$42 = Standings!A72),--('2x2F'!I$28:I$42&lt;'2x2F'!J$28:J$42))+SUMPRODUCT(--('2x2F'!D$28:D$42 = Standings!A72),--('2x2F'!I$28:I$42&gt;'2x2F'!J$28:J$42))</f>
        <v>0</v>
      </c>
      <c r="F72" s="24">
        <f>+SUMIFS('2x2F'!I$28:J$42,'2x2F'!C$28:D$42,Standings!A72)</f>
        <v>0</v>
      </c>
      <c r="G72" s="24" cm="1">
        <f t="array" ref="G72">SUMPRODUCT(--('2x2F'!C$28:C$42=Standings!A72),'2x2F'!J$28:J$42)+SUMPRODUCT(--('2x2F'!D$28:D$42=Standings!A72),'2x2F'!I$28:I$42)</f>
        <v>0</v>
      </c>
      <c r="H72" s="24">
        <f>(C72*2+D72*1)*2/3</f>
        <v>0</v>
      </c>
      <c r="I72" s="28" t="e">
        <f>+F72/G72</f>
        <v>#DIV/0!</v>
      </c>
    </row>
    <row r="73" spans="1:9">
      <c r="A73" s="27" t="str">
        <f>+'2x2F'!A22</f>
        <v xml:space="preserve">Nanook </v>
      </c>
      <c r="B73" s="24" cm="1">
        <f t="array" ref="B73">SUMPRODUCT(--('2x2F'!C$28:C$42=Standings!A73),--('2x2F'!I$28:I$42&lt;&gt;""))+SUMPRODUCT(--('2x2F'!D$28:D$42=Standings!A73),--('2x2F'!J$28:J$42&lt;&gt;""))</f>
        <v>0</v>
      </c>
      <c r="C73" s="24" cm="1">
        <f t="array" ref="C73">SUMPRODUCT(--('2x2F'!C$28:C$42 = Standings!A73),--('2x2F'!I$28:I$42&gt;'2x2F'!J$28:J$42))+SUMPRODUCT(--('2x2F'!D$28:D$42 = Standings!A73),--('2x2F'!I$28:I$42&lt;'2x2F'!J$28:J$42))</f>
        <v>0</v>
      </c>
      <c r="D73" s="24">
        <f t="shared" ref="D73:D75" si="36">+B73-C73-E73</f>
        <v>0</v>
      </c>
      <c r="E73" s="24" cm="1">
        <f t="array" ref="E73">SUMPRODUCT(--('2x2F'!C$28:C$42 = Standings!A73),--('2x2F'!I$28:I$42&lt;'2x2F'!J$28:J$42))+SUMPRODUCT(--('2x2F'!D$28:D$42 = Standings!A73),--('2x2F'!I$28:I$42&gt;'2x2F'!J$28:J$42))</f>
        <v>0</v>
      </c>
      <c r="F73" s="24">
        <f>+SUMIFS('2x2F'!I$28:J$42,'2x2F'!C$28:D$42,Standings!A73)</f>
        <v>0</v>
      </c>
      <c r="G73" s="24" cm="1">
        <f t="array" ref="G73">SUMPRODUCT(--('2x2F'!C$28:C$42=Standings!A73),'2x2F'!J$28:J$42)+SUMPRODUCT(--('2x2F'!D$28:D$42=Standings!A73),'2x2F'!I$28:I$42)</f>
        <v>0</v>
      </c>
      <c r="H73" s="24">
        <f t="shared" ref="H73:H75" si="37">(C73*2+D73*1)*2/3</f>
        <v>0</v>
      </c>
      <c r="I73" s="28" t="e">
        <f t="shared" ref="I73:I75" si="38">+F73/G73</f>
        <v>#DIV/0!</v>
      </c>
    </row>
    <row r="74" spans="1:9">
      <c r="A74" s="27" t="str">
        <f>+'2x2F'!A23</f>
        <v>Pastizzi Patrol</v>
      </c>
      <c r="B74" s="24" cm="1">
        <f t="array" ref="B74">SUMPRODUCT(--('2x2F'!C$28:C$42=Standings!A74),--('2x2F'!I$28:I$42&lt;&gt;""))+SUMPRODUCT(--('2x2F'!D$28:D$42=Standings!A74),--('2x2F'!J$28:J$42&lt;&gt;""))</f>
        <v>0</v>
      </c>
      <c r="C74" s="24" cm="1">
        <f t="array" ref="C74">SUMPRODUCT(--('2x2F'!C$28:C$42 = Standings!A74),--('2x2F'!I$28:I$42&gt;'2x2F'!J$28:J$42))+SUMPRODUCT(--('2x2F'!D$28:D$42 = Standings!A74),--('2x2F'!I$28:I$42&lt;'2x2F'!J$28:J$42))</f>
        <v>0</v>
      </c>
      <c r="D74" s="24">
        <f t="shared" si="36"/>
        <v>0</v>
      </c>
      <c r="E74" s="24" cm="1">
        <f t="array" ref="E74">SUMPRODUCT(--('2x2F'!C$28:C$42 = Standings!A74),--('2x2F'!I$28:I$42&lt;'2x2F'!J$28:J$42))+SUMPRODUCT(--('2x2F'!D$28:D$42 = Standings!A74),--('2x2F'!I$28:I$42&gt;'2x2F'!J$28:J$42))</f>
        <v>0</v>
      </c>
      <c r="F74" s="24">
        <f>+SUMIFS('2x2F'!I$28:J$42,'2x2F'!C$28:D$42,Standings!A74)</f>
        <v>0</v>
      </c>
      <c r="G74" s="24" cm="1">
        <f t="array" ref="G74">SUMPRODUCT(--('2x2F'!C$28:C$42=Standings!A74),'2x2F'!J$28:J$42)+SUMPRODUCT(--('2x2F'!D$28:D$42=Standings!A74),'2x2F'!I$28:I$42)</f>
        <v>0</v>
      </c>
      <c r="H74" s="24">
        <f t="shared" si="37"/>
        <v>0</v>
      </c>
      <c r="I74" s="28" t="e">
        <f t="shared" si="38"/>
        <v>#DIV/0!</v>
      </c>
    </row>
    <row r="75" spans="1:9">
      <c r="A75" s="27" t="str">
        <f>+'2x2F'!A24</f>
        <v>Disaqueens</v>
      </c>
      <c r="B75" s="24" cm="1">
        <f t="array" ref="B75">SUMPRODUCT(--('2x2F'!C$28:C$42=Standings!A75),--('2x2F'!I$28:I$42&lt;&gt;""))+SUMPRODUCT(--('2x2F'!D$28:D$42=Standings!A75),--('2x2F'!J$28:J$42&lt;&gt;""))</f>
        <v>0</v>
      </c>
      <c r="C75" s="24" cm="1">
        <f t="array" ref="C75">SUMPRODUCT(--('2x2F'!C$28:C$42 = Standings!A75),--('2x2F'!I$28:I$42&gt;'2x2F'!J$28:J$42))+SUMPRODUCT(--('2x2F'!D$28:D$42 = Standings!A75),--('2x2F'!I$28:I$42&lt;'2x2F'!J$28:J$42))</f>
        <v>0</v>
      </c>
      <c r="D75" s="24">
        <f t="shared" si="36"/>
        <v>0</v>
      </c>
      <c r="E75" s="24" cm="1">
        <f t="array" ref="E75">SUMPRODUCT(--('2x2F'!C$28:C$42 = Standings!A75),--('2x2F'!I$28:I$42&lt;'2x2F'!J$28:J$42))+SUMPRODUCT(--('2x2F'!D$28:D$42 = Standings!A75),--('2x2F'!I$28:I$42&gt;'2x2F'!J$28:J$42))</f>
        <v>0</v>
      </c>
      <c r="F75" s="24">
        <f>+SUMIFS('2x2F'!I$28:J$42,'2x2F'!C$28:D$42,Standings!A75)</f>
        <v>0</v>
      </c>
      <c r="G75" s="24" cm="1">
        <f t="array" ref="G75">SUMPRODUCT(--('2x2F'!C$28:C$42=Standings!A75),'2x2F'!J$28:J$42)+SUMPRODUCT(--('2x2F'!D$28:D$42=Standings!A75),'2x2F'!I$28:I$42)</f>
        <v>0</v>
      </c>
      <c r="H75" s="24">
        <f t="shared" si="37"/>
        <v>0</v>
      </c>
      <c r="I75" s="28" t="e">
        <f t="shared" si="38"/>
        <v>#DIV/0!</v>
      </c>
    </row>
    <row r="76" spans="1:9">
      <c r="A76" s="32"/>
      <c r="B76" s="33"/>
      <c r="C76" s="33"/>
      <c r="D76" s="33"/>
      <c r="E76" s="33"/>
      <c r="F76" s="33"/>
      <c r="G76" s="33"/>
      <c r="H76" s="33"/>
      <c r="I76" s="34"/>
    </row>
    <row r="78" spans="1:9">
      <c r="A78" s="29" t="s">
        <v>192</v>
      </c>
      <c r="B78" s="30" t="s">
        <v>186</v>
      </c>
      <c r="C78" s="30" t="s">
        <v>197</v>
      </c>
      <c r="D78" s="30" t="s">
        <v>187</v>
      </c>
      <c r="E78" s="30" t="s">
        <v>198</v>
      </c>
      <c r="F78" s="30" t="s">
        <v>188</v>
      </c>
      <c r="G78" s="30" t="s">
        <v>189</v>
      </c>
      <c r="H78" s="30" t="s">
        <v>185</v>
      </c>
      <c r="I78" s="31" t="s">
        <v>190</v>
      </c>
    </row>
    <row r="79" spans="1:9">
      <c r="A79" s="27" t="str">
        <f>+'2x2F'!B21</f>
        <v>MURO !</v>
      </c>
      <c r="B79" s="24" cm="1">
        <f t="array" ref="B79">SUMPRODUCT(--('2x2F'!C$28:C$42=Standings!A79),--('2x2F'!I$28:I$42&lt;&gt;""))+SUMPRODUCT(--('2x2F'!D$28:D$42=Standings!A79),--('2x2F'!J$28:J$42&lt;&gt;""))</f>
        <v>0</v>
      </c>
      <c r="C79" s="24" cm="1">
        <f t="array" ref="C79">SUMPRODUCT(--('2x2F'!C$28:C$42 = Standings!A79),--('2x2F'!I$28:I$42&gt;'2x2F'!J$28:J$42))+SUMPRODUCT(--('2x2F'!D$28:D$42 = Standings!A79),--('2x2F'!I$28:I$42&lt;'2x2F'!J$28:J$42))</f>
        <v>0</v>
      </c>
      <c r="D79" s="24">
        <f t="shared" ref="D79:D81" si="39">+B79-C79-E79</f>
        <v>0</v>
      </c>
      <c r="E79" s="24" cm="1">
        <f t="array" ref="E79">SUMPRODUCT(--('2x2F'!C$28:C$42 = Standings!A79),--('2x2F'!I$28:I$42&lt;'2x2F'!J$28:J$42))+SUMPRODUCT(--('2x2F'!D$28:D$42 = Standings!A79),--('2x2F'!I$28:I$42&gt;'2x2F'!J$28:J$42))</f>
        <v>0</v>
      </c>
      <c r="F79" s="24">
        <f>+SUMIFS('2x2F'!I$28:J$42,'2x2F'!C$28:D$42,Standings!A79)</f>
        <v>0</v>
      </c>
      <c r="G79" s="24" cm="1">
        <f t="array" ref="G79">SUMPRODUCT(--('2x2F'!C$28:C$42=Standings!A79),'2x2F'!J$28:J$42)+SUMPRODUCT(--('2x2F'!D$28:D$42=Standings!A79),'2x2F'!I$28:I$42)</f>
        <v>0</v>
      </c>
      <c r="H79" s="24">
        <f t="shared" ref="H79:H82" si="40">2*(C79*2+D79*1)/3</f>
        <v>0</v>
      </c>
      <c r="I79" s="28" t="e">
        <f t="shared" ref="I79:I81" si="41">+F79/G79</f>
        <v>#DIV/0!</v>
      </c>
    </row>
    <row r="80" spans="1:9">
      <c r="A80" s="27" t="str">
        <f>+'2x2F'!B22</f>
        <v>EFSA 7</v>
      </c>
      <c r="B80" s="24" cm="1">
        <f t="array" ref="B80">SUMPRODUCT(--('2x2F'!C$28:C$42=Standings!A80),--('2x2F'!I$28:I$42&lt;&gt;""))+SUMPRODUCT(--('2x2F'!D$28:D$42=Standings!A80),--('2x2F'!J$28:J$42&lt;&gt;""))</f>
        <v>0</v>
      </c>
      <c r="C80" s="24" cm="1">
        <f t="array" ref="C80">SUMPRODUCT(--('2x2F'!C$28:C$42 = Standings!A80),--('2x2F'!I$28:I$42&gt;'2x2F'!J$28:J$42))+SUMPRODUCT(--('2x2F'!D$28:D$42 = Standings!A80),--('2x2F'!I$28:I$42&lt;'2x2F'!J$28:J$42))</f>
        <v>0</v>
      </c>
      <c r="D80" s="24">
        <f t="shared" si="39"/>
        <v>0</v>
      </c>
      <c r="E80" s="24" cm="1">
        <f t="array" ref="E80">SUMPRODUCT(--('2x2F'!C$28:C$42 = Standings!A80),--('2x2F'!I$28:I$42&lt;'2x2F'!J$28:J$42))+SUMPRODUCT(--('2x2F'!D$28:D$42 = Standings!A80),--('2x2F'!I$28:I$42&gt;'2x2F'!J$28:J$42))</f>
        <v>0</v>
      </c>
      <c r="F80" s="24">
        <f>+SUMIFS('2x2F'!I$28:J$42,'2x2F'!C$28:D$42,Standings!A80)</f>
        <v>0</v>
      </c>
      <c r="G80" s="24" cm="1">
        <f t="array" ref="G80">SUMPRODUCT(--('2x2F'!C$28:C$42=Standings!A80),'2x2F'!J$28:J$42)+SUMPRODUCT(--('2x2F'!D$28:D$42=Standings!A80),'2x2F'!I$28:I$42)</f>
        <v>0</v>
      </c>
      <c r="H80" s="24">
        <f t="shared" si="40"/>
        <v>0</v>
      </c>
      <c r="I80" s="28" t="e">
        <f t="shared" si="41"/>
        <v>#DIV/0!</v>
      </c>
    </row>
    <row r="81" spans="1:9">
      <c r="A81" s="27" t="str">
        <f>+'2x2F'!B23</f>
        <v>Barrakka Gardeners</v>
      </c>
      <c r="B81" s="24" cm="1">
        <f t="array" ref="B81">SUMPRODUCT(--('2x2F'!C$28:C$42=Standings!A81),--('2x2F'!I$28:I$42&lt;&gt;""))+SUMPRODUCT(--('2x2F'!D$28:D$42=Standings!A81),--('2x2F'!J$28:J$42&lt;&gt;""))</f>
        <v>0</v>
      </c>
      <c r="C81" s="24" cm="1">
        <f t="array" ref="C81">SUMPRODUCT(--('2x2F'!C$28:C$42 = Standings!A81),--('2x2F'!I$28:I$42&gt;'2x2F'!J$28:J$42))+SUMPRODUCT(--('2x2F'!D$28:D$42 = Standings!A81),--('2x2F'!I$28:I$42&lt;'2x2F'!J$28:J$42))</f>
        <v>0</v>
      </c>
      <c r="D81" s="24">
        <f t="shared" si="39"/>
        <v>0</v>
      </c>
      <c r="E81" s="24" cm="1">
        <f t="array" ref="E81">SUMPRODUCT(--('2x2F'!C$28:C$42 = Standings!A81),--('2x2F'!I$28:I$42&lt;'2x2F'!J$28:J$42))+SUMPRODUCT(--('2x2F'!D$28:D$42 = Standings!A81),--('2x2F'!I$28:I$42&gt;'2x2F'!J$28:J$42))</f>
        <v>0</v>
      </c>
      <c r="F81" s="24">
        <f>+SUMIFS('2x2F'!I$28:J$42,'2x2F'!C$28:D$42,Standings!A81)</f>
        <v>0</v>
      </c>
      <c r="G81" s="24" cm="1">
        <f t="array" ref="G81">SUMPRODUCT(--('2x2F'!C$28:C$42=Standings!A81),'2x2F'!J$28:J$42)+SUMPRODUCT(--('2x2F'!D$28:D$42=Standings!A81),'2x2F'!I$28:I$42)</f>
        <v>0</v>
      </c>
      <c r="H81" s="24">
        <f t="shared" si="40"/>
        <v>0</v>
      </c>
      <c r="I81" s="28" t="e">
        <f t="shared" si="41"/>
        <v>#DIV/0!</v>
      </c>
    </row>
    <row r="82" spans="1:9">
      <c r="A82" s="27" t="str">
        <f>+'2x2F'!B24</f>
        <v>JRC 12</v>
      </c>
      <c r="B82" s="24" cm="1">
        <f t="array" ref="B82">SUMPRODUCT(--('2x2F'!C$28:C$42=Standings!A82),--('2x2F'!I$28:I$42&lt;&gt;""))+SUMPRODUCT(--('2x2F'!D$28:D$42=Standings!A82),--('2x2F'!J$28:J$42&lt;&gt;""))</f>
        <v>0</v>
      </c>
      <c r="C82" s="24" cm="1">
        <f t="array" ref="C82">SUMPRODUCT(--('2x2F'!C$28:C$42 = Standings!A82),--('2x2F'!I$28:I$42&gt;'2x2F'!J$28:J$42))+SUMPRODUCT(--('2x2F'!D$28:D$42 = Standings!A82),--('2x2F'!I$28:I$42&lt;'2x2F'!J$28:J$42))</f>
        <v>0</v>
      </c>
      <c r="D82" s="24">
        <f t="shared" ref="D82" si="42">+B82-C82-E82</f>
        <v>0</v>
      </c>
      <c r="E82" s="24" cm="1">
        <f t="array" ref="E82">SUMPRODUCT(--('2x2F'!C$28:C$42 = Standings!A82),--('2x2F'!I$28:I$42&lt;'2x2F'!J$28:J$42))+SUMPRODUCT(--('2x2F'!D$28:D$42 = Standings!A82),--('2x2F'!I$28:I$42&gt;'2x2F'!J$28:J$42))</f>
        <v>0</v>
      </c>
      <c r="F82" s="24">
        <f>+SUMIFS('2x2F'!I$28:J$42,'2x2F'!C$28:D$42,Standings!A82)</f>
        <v>0</v>
      </c>
      <c r="G82" s="24" cm="1">
        <f t="array" ref="G82">SUMPRODUCT(--('2x2F'!C$28:C$42=Standings!A82),'2x2F'!J$28:J$42)+SUMPRODUCT(--('2x2F'!D$28:D$42=Standings!A82),'2x2F'!I$28:I$42)</f>
        <v>0</v>
      </c>
      <c r="H82" s="24">
        <f t="shared" si="40"/>
        <v>0</v>
      </c>
      <c r="I82" s="28" t="e">
        <f t="shared" ref="I82" si="43">+F82/G82</f>
        <v>#DIV/0!</v>
      </c>
    </row>
    <row r="84" spans="1:9">
      <c r="A84" s="29" t="s">
        <v>193</v>
      </c>
      <c r="B84" s="30" t="s">
        <v>186</v>
      </c>
      <c r="C84" s="30" t="s">
        <v>197</v>
      </c>
      <c r="D84" s="30" t="s">
        <v>187</v>
      </c>
      <c r="E84" s="30" t="s">
        <v>198</v>
      </c>
      <c r="F84" s="30" t="s">
        <v>188</v>
      </c>
      <c r="G84" s="30" t="s">
        <v>189</v>
      </c>
      <c r="H84" s="30" t="s">
        <v>185</v>
      </c>
      <c r="I84" s="31" t="s">
        <v>190</v>
      </c>
    </row>
    <row r="85" spans="1:9">
      <c r="A85" s="27" t="str">
        <f>+'2x2F'!C21</f>
        <v>FedAle</v>
      </c>
      <c r="B85" s="24" cm="1">
        <f t="array" ref="B85">SUMPRODUCT(--('2x2F'!C$28:C$42=Standings!A85),--('2x2F'!I$28:I$42&lt;&gt;""))+SUMPRODUCT(--('2x2F'!D$28:D$42=Standings!A85),--('2x2F'!J$28:J$42&lt;&gt;""))</f>
        <v>0</v>
      </c>
      <c r="C85" s="24" cm="1">
        <f t="array" ref="C85">SUMPRODUCT(--('2x2F'!C$28:C$42 = Standings!A85),--('2x2F'!I$28:I$42&gt;'2x2F'!J$28:J$42))+SUMPRODUCT(--('2x2F'!D$28:D$42 = Standings!A85),--('2x2F'!I$28:I$42&lt;'2x2F'!J$28:J$42))</f>
        <v>0</v>
      </c>
      <c r="D85" s="24">
        <f t="shared" ref="D85:D87" si="44">+B85-C85-E85</f>
        <v>0</v>
      </c>
      <c r="E85" s="24" cm="1">
        <f t="array" ref="E85">SUMPRODUCT(--('2x2F'!C$28:C$42 = Standings!A85),--('2x2F'!I$28:I$42&lt;'2x2F'!J$28:J$42))+SUMPRODUCT(--('2x2F'!D$28:D$42 = Standings!A85),--('2x2F'!I$28:I$42&gt;'2x2F'!J$28:J$42))</f>
        <v>0</v>
      </c>
      <c r="F85" s="24">
        <f>+SUMIFS('2x2F'!I$28:J$42,'2x2F'!C$28:D$42,Standings!A85)</f>
        <v>0</v>
      </c>
      <c r="G85" s="24" cm="1">
        <f t="array" ref="G85">SUMPRODUCT(--('2x2F'!C$28:C$42=Standings!A85),'2x2F'!J$28:J$42)+SUMPRODUCT(--('2x2F'!D$28:D$42=Standings!A85),'2x2F'!I$28:I$42)</f>
        <v>0</v>
      </c>
      <c r="H85" s="24">
        <f t="shared" ref="H85:H87" si="45">+C85*2+D85*1</f>
        <v>0</v>
      </c>
      <c r="I85" s="28" t="e">
        <f t="shared" ref="I85:I87" si="46">+F85/G85</f>
        <v>#DIV/0!</v>
      </c>
    </row>
    <row r="86" spans="1:9">
      <c r="A86" s="27" t="str">
        <f>+'2x2F'!C22</f>
        <v>Blue Lagoon Spritz</v>
      </c>
      <c r="B86" s="24" cm="1">
        <f t="array" ref="B86">SUMPRODUCT(--('2x2F'!C$28:C$42=Standings!A86),--('2x2F'!I$28:I$42&lt;&gt;""))+SUMPRODUCT(--('2x2F'!D$28:D$42=Standings!A86),--('2x2F'!J$28:J$42&lt;&gt;""))</f>
        <v>0</v>
      </c>
      <c r="C86" s="24" cm="1">
        <f t="array" ref="C86">SUMPRODUCT(--('2x2F'!C$28:C$42 = Standings!A86),--('2x2F'!I$28:I$42&gt;'2x2F'!J$28:J$42))+SUMPRODUCT(--('2x2F'!D$28:D$42 = Standings!A86),--('2x2F'!I$28:I$42&lt;'2x2F'!J$28:J$42))</f>
        <v>0</v>
      </c>
      <c r="D86" s="24">
        <f t="shared" si="44"/>
        <v>0</v>
      </c>
      <c r="E86" s="24" cm="1">
        <f t="array" ref="E86">SUMPRODUCT(--('2x2F'!C$28:C$42 = Standings!A86),--('2x2F'!I$28:I$42&lt;'2x2F'!J$28:J$42))+SUMPRODUCT(--('2x2F'!D$28:D$42 = Standings!A86),--('2x2F'!I$28:I$42&gt;'2x2F'!J$28:J$42))</f>
        <v>0</v>
      </c>
      <c r="F86" s="24">
        <f>+SUMIFS('2x2F'!I$28:J$42,'2x2F'!C$28:D$42,Standings!A86)</f>
        <v>0</v>
      </c>
      <c r="G86" s="24" cm="1">
        <f t="array" ref="G86">SUMPRODUCT(--('2x2F'!C$28:C$42=Standings!A86),'2x2F'!J$28:J$42)+SUMPRODUCT(--('2x2F'!D$28:D$42=Standings!A86),'2x2F'!I$28:I$42)</f>
        <v>0</v>
      </c>
      <c r="H86" s="24">
        <f t="shared" si="45"/>
        <v>0</v>
      </c>
      <c r="I86" s="28" t="e">
        <f t="shared" si="46"/>
        <v>#DIV/0!</v>
      </c>
    </row>
    <row r="87" spans="1:9">
      <c r="A87" s="27" t="str">
        <f>+'2x2F'!C23</f>
        <v>EUROPOL F</v>
      </c>
      <c r="B87" s="24" cm="1">
        <f t="array" ref="B87">SUMPRODUCT(--('2x2F'!C$28:C$42=Standings!A87),--('2x2F'!I$28:I$42&lt;&gt;""))+SUMPRODUCT(--('2x2F'!D$28:D$42=Standings!A87),--('2x2F'!J$28:J$42&lt;&gt;""))</f>
        <v>0</v>
      </c>
      <c r="C87" s="24" cm="1">
        <f t="array" ref="C87">SUMPRODUCT(--('2x2F'!C$28:C$42 = Standings!A87),--('2x2F'!I$28:I$42&gt;'2x2F'!J$28:J$42))+SUMPRODUCT(--('2x2F'!D$28:D$42 = Standings!A87),--('2x2F'!I$28:I$42&lt;'2x2F'!J$28:J$42))</f>
        <v>0</v>
      </c>
      <c r="D87" s="24">
        <f t="shared" si="44"/>
        <v>0</v>
      </c>
      <c r="E87" s="24" cm="1">
        <f t="array" ref="E87">SUMPRODUCT(--('2x2F'!C$28:C$42 = Standings!A87),--('2x2F'!I$28:I$42&lt;'2x2F'!J$28:J$42))+SUMPRODUCT(--('2x2F'!D$28:D$42 = Standings!A87),--('2x2F'!I$28:I$42&gt;'2x2F'!J$28:J$42))</f>
        <v>0</v>
      </c>
      <c r="F87" s="24">
        <f>+SUMIFS('2x2F'!I$28:J$42,'2x2F'!C$28:D$42,Standings!A87)</f>
        <v>0</v>
      </c>
      <c r="G87" s="24" cm="1">
        <f t="array" ref="G87">SUMPRODUCT(--('2x2F'!C$28:C$42=Standings!A87),'2x2F'!J$28:J$42)+SUMPRODUCT(--('2x2F'!D$28:D$42=Standings!A87),'2x2F'!I$28:I$42)</f>
        <v>0</v>
      </c>
      <c r="H87" s="24">
        <f t="shared" si="45"/>
        <v>0</v>
      </c>
      <c r="I87" s="28" t="e">
        <f t="shared" si="46"/>
        <v>#DIV/0!</v>
      </c>
    </row>
    <row r="88" spans="1:9">
      <c r="A88" s="32"/>
      <c r="B88" s="33"/>
      <c r="C88" s="33"/>
      <c r="D88" s="33"/>
      <c r="E88" s="33"/>
      <c r="F88" s="33"/>
      <c r="G88" s="33"/>
      <c r="H88" s="33"/>
      <c r="I88" s="34"/>
    </row>
    <row r="91" spans="1:9" ht="24">
      <c r="A91" s="26" t="s">
        <v>174</v>
      </c>
    </row>
    <row r="93" spans="1:9">
      <c r="A93" s="29" t="s">
        <v>191</v>
      </c>
      <c r="B93" s="30" t="s">
        <v>186</v>
      </c>
      <c r="C93" s="30" t="s">
        <v>197</v>
      </c>
      <c r="D93" s="30" t="s">
        <v>187</v>
      </c>
      <c r="E93" s="30" t="s">
        <v>198</v>
      </c>
      <c r="F93" s="30" t="s">
        <v>188</v>
      </c>
      <c r="G93" s="30" t="s">
        <v>189</v>
      </c>
      <c r="H93" s="30" t="s">
        <v>185</v>
      </c>
      <c r="I93" s="31" t="s">
        <v>190</v>
      </c>
    </row>
    <row r="94" spans="1:9">
      <c r="A94" s="27" t="str">
        <f>+'4x4 MIX'!A23</f>
        <v>EUIPO 5</v>
      </c>
      <c r="B94" s="24" cm="1">
        <f t="array" ref="B94">SUMPRODUCT(--('4x4 MIX'!C$29:C$43=Standings!A94),--('4x4 MIX'!I$29:I$43&lt;&gt;""))+SUMPRODUCT(--('4x4 MIX'!D$29:D$43=Standings!A94),--('4x4 MIX'!J$29:J$43&lt;&gt;""))</f>
        <v>0</v>
      </c>
      <c r="C94" s="24" cm="1">
        <f t="array" ref="C94">SUMPRODUCT(--('4x4 MIX'!C$29:C$43 = Standings!A94),--('4x4 MIX'!I$29:I$43&gt;'4x4 MIX'!J$29:J$43))+SUMPRODUCT(--('4x4 MIX'!D$29:D$43 = Standings!A94),--('4x4 MIX'!I$29:I$43&lt;'4x4 MIX'!J$29:J$43))</f>
        <v>0</v>
      </c>
      <c r="D94" s="24">
        <f>+B94-C94-E94</f>
        <v>0</v>
      </c>
      <c r="E94" s="24" cm="1">
        <f t="array" ref="E94">SUMPRODUCT(--('4x4 MIX'!C$29:C$43 = Standings!A94),--('4x4 MIX'!I$29:I$43&lt;'4x4 MIX'!J$29:J$43))+SUMPRODUCT(--('4x4 MIX'!D$29:D$43 = Standings!A94),--('4x4 MIX'!I$29:I$43&gt;'4x4 MIX'!J$29:J$43))</f>
        <v>0</v>
      </c>
      <c r="F94" s="24">
        <f>+SUMIFS('4x4 MIX'!I$29:J$43,'4x4 MIX'!C$29:D$43,Standings!A94)</f>
        <v>0</v>
      </c>
      <c r="G94" s="24" cm="1">
        <f t="array" ref="G94">SUMPRODUCT(--('4x4 MIX'!C$29:C$43=Standings!A94),'4x4 MIX'!J$29:J$43)+SUMPRODUCT(--('4x4 MIX'!D$29:D$43=Standings!A94),'4x4 MIX'!I$29:I$43)</f>
        <v>0</v>
      </c>
      <c r="H94" s="24">
        <f>+C94*2+D94*1</f>
        <v>0</v>
      </c>
      <c r="I94" s="28" t="e">
        <f>+F94/G94</f>
        <v>#DIV/0!</v>
      </c>
    </row>
    <row r="95" spans="1:9">
      <c r="A95" s="27" t="str">
        <f>+'4x4 MIX'!A24</f>
        <v>EFSA 6</v>
      </c>
      <c r="B95" s="24" cm="1">
        <f t="array" ref="B95">SUMPRODUCT(--('4x4 MIX'!C$29:C$43=Standings!A95),--('4x4 MIX'!I$29:I$43&lt;&gt;""))+SUMPRODUCT(--('4x4 MIX'!D$29:D$43=Standings!A95),--('4x4 MIX'!J$29:J$43&lt;&gt;""))</f>
        <v>0</v>
      </c>
      <c r="C95" s="24" cm="1">
        <f t="array" ref="C95">SUMPRODUCT(--('4x4 MIX'!C$29:C$43 = Standings!A95),--('4x4 MIX'!I$29:I$43&gt;'4x4 MIX'!J$29:J$43))+SUMPRODUCT(--('4x4 MIX'!D$29:D$43 = Standings!A95),--('4x4 MIX'!I$29:I$43&lt;'4x4 MIX'!J$29:J$43))</f>
        <v>0</v>
      </c>
      <c r="D95" s="24">
        <f t="shared" ref="D95:D96" si="47">+B95-C95-E95</f>
        <v>0</v>
      </c>
      <c r="E95" s="24" cm="1">
        <f t="array" ref="E95">SUMPRODUCT(--('4x4 MIX'!C$29:C$43 = Standings!A95),--('4x4 MIX'!I$29:I$43&lt;'4x4 MIX'!J$29:J$43))+SUMPRODUCT(--('4x4 MIX'!D$29:D$43 = Standings!A95),--('4x4 MIX'!I$29:I$43&gt;'4x4 MIX'!J$29:J$43))</f>
        <v>0</v>
      </c>
      <c r="F95" s="24">
        <f>+SUMIFS('4x4 MIX'!I$29:J$43,'4x4 MIX'!C$29:D$43,Standings!A95)</f>
        <v>0</v>
      </c>
      <c r="G95" s="24" cm="1">
        <f t="array" ref="G95">SUMPRODUCT(--('4x4 MIX'!C$29:C$43=Standings!A95),'4x4 MIX'!J$29:J$43)+SUMPRODUCT(--('4x4 MIX'!D$29:D$43=Standings!A95),'4x4 MIX'!I$29:I$43)</f>
        <v>0</v>
      </c>
      <c r="H95" s="24">
        <f t="shared" ref="H95:H96" si="48">+C95*2+D95*1</f>
        <v>0</v>
      </c>
      <c r="I95" s="28" t="e">
        <f t="shared" ref="I95:I96" si="49">+F95/G95</f>
        <v>#DIV/0!</v>
      </c>
    </row>
    <row r="96" spans="1:9">
      <c r="A96" s="27" t="str">
        <f>+'4x4 MIX'!A25</f>
        <v>Horizon setters</v>
      </c>
      <c r="B96" s="24" cm="1">
        <f t="array" ref="B96">SUMPRODUCT(--('4x4 MIX'!C$29:C$43=Standings!A96),--('4x4 MIX'!I$29:I$43&lt;&gt;""))+SUMPRODUCT(--('4x4 MIX'!D$29:D$43=Standings!A96),--('4x4 MIX'!J$29:J$43&lt;&gt;""))</f>
        <v>0</v>
      </c>
      <c r="C96" s="24" cm="1">
        <f t="array" ref="C96">SUMPRODUCT(--('4x4 MIX'!C$29:C$43 = Standings!A96),--('4x4 MIX'!I$29:I$43&gt;'4x4 MIX'!J$29:J$43))+SUMPRODUCT(--('4x4 MIX'!D$29:D$43 = Standings!A96),--('4x4 MIX'!I$29:I$43&lt;'4x4 MIX'!J$29:J$43))</f>
        <v>0</v>
      </c>
      <c r="D96" s="24">
        <f t="shared" si="47"/>
        <v>0</v>
      </c>
      <c r="E96" s="24" cm="1">
        <f t="array" ref="E96">SUMPRODUCT(--('4x4 MIX'!C$29:C$43 = Standings!A96),--('4x4 MIX'!I$29:I$43&lt;'4x4 MIX'!J$29:J$43))+SUMPRODUCT(--('4x4 MIX'!D$29:D$43 = Standings!A96),--('4x4 MIX'!I$29:I$43&gt;'4x4 MIX'!J$29:J$43))</f>
        <v>0</v>
      </c>
      <c r="F96" s="24">
        <f>+SUMIFS('4x4 MIX'!I$29:J$43,'4x4 MIX'!C$29:D$43,Standings!A96)</f>
        <v>0</v>
      </c>
      <c r="G96" s="24" cm="1">
        <f t="array" ref="G96">SUMPRODUCT(--('4x4 MIX'!C$29:C$43=Standings!A96),'4x4 MIX'!J$29:J$43)+SUMPRODUCT(--('4x4 MIX'!D$29:D$43=Standings!A96),'4x4 MIX'!I$29:I$43)</f>
        <v>0</v>
      </c>
      <c r="H96" s="24">
        <f t="shared" si="48"/>
        <v>0</v>
      </c>
      <c r="I96" s="28" t="e">
        <f t="shared" si="49"/>
        <v>#DIV/0!</v>
      </c>
    </row>
    <row r="97" spans="1:9">
      <c r="A97" s="27"/>
      <c r="B97" s="24"/>
      <c r="C97" s="24"/>
      <c r="D97" s="24"/>
      <c r="E97" s="24"/>
      <c r="F97" s="24"/>
      <c r="G97" s="24"/>
      <c r="H97" s="24"/>
      <c r="I97" s="28"/>
    </row>
    <row r="98" spans="1:9">
      <c r="A98" s="32"/>
      <c r="B98" s="33"/>
      <c r="C98" s="33"/>
      <c r="D98" s="33"/>
      <c r="E98" s="33"/>
      <c r="F98" s="33"/>
      <c r="G98" s="33"/>
      <c r="H98" s="33"/>
      <c r="I98" s="34"/>
    </row>
    <row r="100" spans="1:9">
      <c r="A100" s="29" t="s">
        <v>192</v>
      </c>
      <c r="B100" s="30" t="s">
        <v>186</v>
      </c>
      <c r="C100" s="30" t="s">
        <v>197</v>
      </c>
      <c r="D100" s="30" t="s">
        <v>187</v>
      </c>
      <c r="E100" s="30" t="s">
        <v>198</v>
      </c>
      <c r="F100" s="30" t="s">
        <v>188</v>
      </c>
      <c r="G100" s="30" t="s">
        <v>189</v>
      </c>
      <c r="H100" s="30" t="s">
        <v>185</v>
      </c>
      <c r="I100" s="31" t="s">
        <v>190</v>
      </c>
    </row>
    <row r="101" spans="1:9">
      <c r="A101" s="27" t="str">
        <f>+'4x4 MIX'!B23</f>
        <v>Dandy Dandelions</v>
      </c>
      <c r="B101" s="24" cm="1">
        <f t="array" ref="B101">SUMPRODUCT(--('4x4 MIX'!C$29:C$43=Standings!A101),--('4x4 MIX'!I$29:I$43&lt;&gt;""))+SUMPRODUCT(--('4x4 MIX'!D$29:D$43=Standings!A101),--('4x4 MIX'!J$29:J$43&lt;&gt;""))</f>
        <v>0</v>
      </c>
      <c r="C101" s="24" cm="1">
        <f t="array" ref="C101">SUMPRODUCT(--('4x4 MIX'!C$29:C$43 = Standings!A101),--('4x4 MIX'!I$29:I$43&gt;'4x4 MIX'!J$29:J$43))+SUMPRODUCT(--('4x4 MIX'!D$29:D$43 = Standings!A101),--('4x4 MIX'!I$29:I$43&lt;'4x4 MIX'!J$29:J$43))</f>
        <v>0</v>
      </c>
      <c r="D101" s="24">
        <f t="shared" ref="D101:D103" si="50">+B101-C101-E101</f>
        <v>0</v>
      </c>
      <c r="E101" s="24" cm="1">
        <f t="array" ref="E101">SUMPRODUCT(--('4x4 MIX'!C$29:C$43 = Standings!A101),--('4x4 MIX'!I$29:I$43&lt;'4x4 MIX'!J$29:J$43))+SUMPRODUCT(--('4x4 MIX'!D$29:D$43 = Standings!A101),--('4x4 MIX'!I$29:I$43&gt;'4x4 MIX'!J$29:J$43))</f>
        <v>0</v>
      </c>
      <c r="F101" s="24">
        <f>+SUMIFS('4x4 MIX'!I$29:J$43,'4x4 MIX'!C$29:D$43,Standings!A101)</f>
        <v>0</v>
      </c>
      <c r="G101" s="24" cm="1">
        <f t="array" ref="G101">SUMPRODUCT(--('4x4 MIX'!C$29:C$43=Standings!A101),'4x4 MIX'!J$29:J$43)+SUMPRODUCT(--('4x4 MIX'!D$29:D$43=Standings!A101),'4x4 MIX'!I$29:I$43)</f>
        <v>0</v>
      </c>
      <c r="H101" s="24">
        <f t="shared" ref="H101:H103" si="51">+C101*2+D101*1</f>
        <v>0</v>
      </c>
      <c r="I101" s="28" t="e">
        <f t="shared" ref="I101:I103" si="52">+F101/G101</f>
        <v>#DIV/0!</v>
      </c>
    </row>
    <row r="102" spans="1:9">
      <c r="A102" s="27" t="str">
        <f>+'4x4 MIX'!B24</f>
        <v>House of Medici</v>
      </c>
      <c r="B102" s="24" cm="1">
        <f t="array" ref="B102">SUMPRODUCT(--('4x4 MIX'!C$29:C$43=Standings!A102),--('4x4 MIX'!I$29:I$43&lt;&gt;""))+SUMPRODUCT(--('4x4 MIX'!D$29:D$43=Standings!A102),--('4x4 MIX'!J$29:J$43&lt;&gt;""))</f>
        <v>0</v>
      </c>
      <c r="C102" s="24" cm="1">
        <f t="array" ref="C102">SUMPRODUCT(--('4x4 MIX'!C$29:C$43 = Standings!A102),--('4x4 MIX'!I$29:I$43&gt;'4x4 MIX'!J$29:J$43))+SUMPRODUCT(--('4x4 MIX'!D$29:D$43 = Standings!A102),--('4x4 MIX'!I$29:I$43&lt;'4x4 MIX'!J$29:J$43))</f>
        <v>0</v>
      </c>
      <c r="D102" s="24">
        <f t="shared" si="50"/>
        <v>0</v>
      </c>
      <c r="E102" s="24" cm="1">
        <f t="array" ref="E102">SUMPRODUCT(--('4x4 MIX'!C$29:C$43 = Standings!A102),--('4x4 MIX'!I$29:I$43&lt;'4x4 MIX'!J$29:J$43))+SUMPRODUCT(--('4x4 MIX'!D$29:D$43 = Standings!A102),--('4x4 MIX'!I$29:I$43&gt;'4x4 MIX'!J$29:J$43))</f>
        <v>0</v>
      </c>
      <c r="F102" s="24">
        <f>+SUMIFS('4x4 MIX'!I$29:J$43,'4x4 MIX'!C$29:D$43,Standings!A102)</f>
        <v>0</v>
      </c>
      <c r="G102" s="24" cm="1">
        <f t="array" ref="G102">SUMPRODUCT(--('4x4 MIX'!C$29:C$43=Standings!A102),'4x4 MIX'!J$29:J$43)+SUMPRODUCT(--('4x4 MIX'!D$29:D$43=Standings!A102),'4x4 MIX'!I$29:I$43)</f>
        <v>0</v>
      </c>
      <c r="H102" s="24">
        <f t="shared" si="51"/>
        <v>0</v>
      </c>
      <c r="I102" s="28" t="e">
        <f t="shared" si="52"/>
        <v>#DIV/0!</v>
      </c>
    </row>
    <row r="103" spans="1:9">
      <c r="A103" s="27" t="str">
        <f>+'4x4 MIX'!B25</f>
        <v>REALL</v>
      </c>
      <c r="B103" s="24" cm="1">
        <f t="array" ref="B103">SUMPRODUCT(--('4x4 MIX'!C$29:C$43=Standings!A103),--('4x4 MIX'!I$29:I$43&lt;&gt;""))+SUMPRODUCT(--('4x4 MIX'!D$29:D$43=Standings!A103),--('4x4 MIX'!J$29:J$43&lt;&gt;""))</f>
        <v>0</v>
      </c>
      <c r="C103" s="24" cm="1">
        <f t="array" ref="C103">SUMPRODUCT(--('4x4 MIX'!C$29:C$43 = Standings!A103),--('4x4 MIX'!I$29:I$43&gt;'4x4 MIX'!J$29:J$43))+SUMPRODUCT(--('4x4 MIX'!D$29:D$43 = Standings!A103),--('4x4 MIX'!I$29:I$43&lt;'4x4 MIX'!J$29:J$43))</f>
        <v>0</v>
      </c>
      <c r="D103" s="24">
        <f t="shared" si="50"/>
        <v>0</v>
      </c>
      <c r="E103" s="24" cm="1">
        <f t="array" ref="E103">SUMPRODUCT(--('4x4 MIX'!C$29:C$43 = Standings!A103),--('4x4 MIX'!I$29:I$43&lt;'4x4 MIX'!J$29:J$43))+SUMPRODUCT(--('4x4 MIX'!D$29:D$43 = Standings!A103),--('4x4 MIX'!I$29:I$43&gt;'4x4 MIX'!J$29:J$43))</f>
        <v>0</v>
      </c>
      <c r="F103" s="24">
        <f>+SUMIFS('4x4 MIX'!I$29:J$43,'4x4 MIX'!C$29:D$43,Standings!A103)</f>
        <v>0</v>
      </c>
      <c r="G103" s="24" cm="1">
        <f t="array" ref="G103">SUMPRODUCT(--('4x4 MIX'!C$29:C$43=Standings!A103),'4x4 MIX'!J$29:J$43)+SUMPRODUCT(--('4x4 MIX'!D$29:D$43=Standings!A103),'4x4 MIX'!I$29:I$43)</f>
        <v>0</v>
      </c>
      <c r="H103" s="24">
        <f t="shared" si="51"/>
        <v>0</v>
      </c>
      <c r="I103" s="28" t="e">
        <f t="shared" si="52"/>
        <v>#DIV/0!</v>
      </c>
    </row>
    <row r="104" spans="1:9">
      <c r="A104" s="32"/>
      <c r="B104" s="33"/>
      <c r="C104" s="33"/>
      <c r="D104" s="33"/>
      <c r="E104" s="33"/>
      <c r="F104" s="33"/>
      <c r="G104" s="33"/>
      <c r="H104" s="33"/>
      <c r="I104" s="34"/>
    </row>
    <row r="106" spans="1:9">
      <c r="A106" s="29" t="s">
        <v>193</v>
      </c>
      <c r="B106" s="30" t="s">
        <v>186</v>
      </c>
      <c r="C106" s="30" t="s">
        <v>197</v>
      </c>
      <c r="D106" s="30" t="s">
        <v>187</v>
      </c>
      <c r="E106" s="30" t="s">
        <v>198</v>
      </c>
      <c r="F106" s="30" t="s">
        <v>188</v>
      </c>
      <c r="G106" s="30" t="s">
        <v>189</v>
      </c>
      <c r="H106" s="30" t="s">
        <v>185</v>
      </c>
      <c r="I106" s="31" t="s">
        <v>190</v>
      </c>
    </row>
    <row r="107" spans="1:9">
      <c r="A107" s="27" t="str">
        <f>+'4x4 MIX'!C23</f>
        <v>Aperol</v>
      </c>
      <c r="B107" s="24" cm="1">
        <f t="array" ref="B107">SUMPRODUCT(--('4x4 MIX'!C$29:C$43=Standings!A107),--('4x4 MIX'!I$29:I$43&lt;&gt;""))+SUMPRODUCT(--('4x4 MIX'!D$29:D$43=Standings!A107),--('4x4 MIX'!J$29:J$43&lt;&gt;""))</f>
        <v>0</v>
      </c>
      <c r="C107" s="24" cm="1">
        <f t="array" ref="C107">SUMPRODUCT(--('4x4 MIX'!C$29:C$43 = Standings!A107),--('4x4 MIX'!I$29:I$43&gt;'4x4 MIX'!J$29:J$43))+SUMPRODUCT(--('4x4 MIX'!D$29:D$43 = Standings!A107),--('4x4 MIX'!I$29:I$43&lt;'4x4 MIX'!J$29:J$43))</f>
        <v>0</v>
      </c>
      <c r="D107" s="24">
        <f t="shared" ref="D107:D109" si="53">+B107-C107-E107</f>
        <v>0</v>
      </c>
      <c r="E107" s="24" cm="1">
        <f t="array" ref="E107">SUMPRODUCT(--('4x4 MIX'!C$29:C$43 = Standings!A107),--('4x4 MIX'!I$29:I$43&lt;'4x4 MIX'!J$29:J$43))+SUMPRODUCT(--('4x4 MIX'!D$29:D$43 = Standings!A107),--('4x4 MIX'!I$29:I$43&gt;'4x4 MIX'!J$29:J$43))</f>
        <v>0</v>
      </c>
      <c r="F107" s="24">
        <f>+SUMIFS('4x4 MIX'!I$29:J$43,'4x4 MIX'!C$29:D$43,Standings!A107)</f>
        <v>0</v>
      </c>
      <c r="G107" s="24" cm="1">
        <f t="array" ref="G107">SUMPRODUCT(--('4x4 MIX'!C$29:C$43=Standings!A107),'4x4 MIX'!J$29:J$43)+SUMPRODUCT(--('4x4 MIX'!D$29:D$43=Standings!A107),'4x4 MIX'!I$29:I$43)</f>
        <v>0</v>
      </c>
      <c r="H107" s="24">
        <f t="shared" ref="H107:H109" si="54">+C107*2+D107*1</f>
        <v>0</v>
      </c>
      <c r="I107" s="28" t="e">
        <f t="shared" ref="I107:I109" si="55">+F107/G107</f>
        <v>#DIV/0!</v>
      </c>
    </row>
    <row r="108" spans="1:9">
      <c r="A108" s="27" t="str">
        <f>+'4x4 MIX'!C24</f>
        <v>EUAA Comets</v>
      </c>
      <c r="B108" s="24" cm="1">
        <f t="array" ref="B108">SUMPRODUCT(--('4x4 MIX'!C$29:C$43=Standings!A108),--('4x4 MIX'!I$29:I$43&lt;&gt;""))+SUMPRODUCT(--('4x4 MIX'!D$29:D$43=Standings!A108),--('4x4 MIX'!J$29:J$43&lt;&gt;""))</f>
        <v>0</v>
      </c>
      <c r="C108" s="24" cm="1">
        <f t="array" ref="C108">SUMPRODUCT(--('4x4 MIX'!C$29:C$43 = Standings!A108),--('4x4 MIX'!I$29:I$43&gt;'4x4 MIX'!J$29:J$43))+SUMPRODUCT(--('4x4 MIX'!D$29:D$43 = Standings!A108),--('4x4 MIX'!I$29:I$43&lt;'4x4 MIX'!J$29:J$43))</f>
        <v>0</v>
      </c>
      <c r="D108" s="24">
        <f t="shared" si="53"/>
        <v>0</v>
      </c>
      <c r="E108" s="24" cm="1">
        <f t="array" ref="E108">SUMPRODUCT(--('4x4 MIX'!C$29:C$43 = Standings!A108),--('4x4 MIX'!I$29:I$43&lt;'4x4 MIX'!J$29:J$43))+SUMPRODUCT(--('4x4 MIX'!D$29:D$43 = Standings!A108),--('4x4 MIX'!I$29:I$43&gt;'4x4 MIX'!J$29:J$43))</f>
        <v>0</v>
      </c>
      <c r="F108" s="24">
        <f>+SUMIFS('4x4 MIX'!I$29:J$43,'4x4 MIX'!C$29:D$43,Standings!A108)</f>
        <v>0</v>
      </c>
      <c r="G108" s="24" cm="1">
        <f t="array" ref="G108">SUMPRODUCT(--('4x4 MIX'!C$29:C$43=Standings!A108),'4x4 MIX'!J$29:J$43)+SUMPRODUCT(--('4x4 MIX'!D$29:D$43=Standings!A108),'4x4 MIX'!I$29:I$43)</f>
        <v>0</v>
      </c>
      <c r="H108" s="24">
        <f t="shared" si="54"/>
        <v>0</v>
      </c>
      <c r="I108" s="28" t="e">
        <f t="shared" si="55"/>
        <v>#DIV/0!</v>
      </c>
    </row>
    <row r="109" spans="1:9">
      <c r="A109" s="27" t="str">
        <f>+'4x4 MIX'!C25</f>
        <v>Che fastidio</v>
      </c>
      <c r="B109" s="24" cm="1">
        <f t="array" ref="B109">SUMPRODUCT(--('4x4 MIX'!C$29:C$43=Standings!A109),--('4x4 MIX'!I$29:I$43&lt;&gt;""))+SUMPRODUCT(--('4x4 MIX'!D$29:D$43=Standings!A109),--('4x4 MIX'!J$29:J$43&lt;&gt;""))</f>
        <v>0</v>
      </c>
      <c r="C109" s="24" cm="1">
        <f t="array" ref="C109">SUMPRODUCT(--('4x4 MIX'!C$29:C$43 = Standings!A109),--('4x4 MIX'!I$29:I$43&gt;'4x4 MIX'!J$29:J$43))+SUMPRODUCT(--('4x4 MIX'!D$29:D$43 = Standings!A109),--('4x4 MIX'!I$29:I$43&lt;'4x4 MIX'!J$29:J$43))</f>
        <v>0</v>
      </c>
      <c r="D109" s="24">
        <f t="shared" si="53"/>
        <v>0</v>
      </c>
      <c r="E109" s="24" cm="1">
        <f t="array" ref="E109">SUMPRODUCT(--('4x4 MIX'!C$29:C$43 = Standings!A109),--('4x4 MIX'!I$29:I$43&lt;'4x4 MIX'!J$29:J$43))+SUMPRODUCT(--('4x4 MIX'!D$29:D$43 = Standings!A109),--('4x4 MIX'!I$29:I$43&gt;'4x4 MIX'!J$29:J$43))</f>
        <v>0</v>
      </c>
      <c r="F109" s="24">
        <f>+SUMIFS('4x4 MIX'!I$29:J$43,'4x4 MIX'!C$29:D$43,Standings!A109)</f>
        <v>0</v>
      </c>
      <c r="G109" s="24" cm="1">
        <f t="array" ref="G109">SUMPRODUCT(--('4x4 MIX'!C$29:C$43=Standings!A109),'4x4 MIX'!J$29:J$43)+SUMPRODUCT(--('4x4 MIX'!D$29:D$43=Standings!A109),'4x4 MIX'!I$29:I$43)</f>
        <v>0</v>
      </c>
      <c r="H109" s="24">
        <f t="shared" si="54"/>
        <v>0</v>
      </c>
      <c r="I109" s="28" t="e">
        <f t="shared" si="55"/>
        <v>#DIV/0!</v>
      </c>
    </row>
    <row r="110" spans="1:9">
      <c r="A110" s="32"/>
      <c r="B110" s="33"/>
      <c r="C110" s="33"/>
      <c r="D110" s="33"/>
      <c r="E110" s="33"/>
      <c r="F110" s="33"/>
      <c r="G110" s="33"/>
      <c r="H110" s="33"/>
      <c r="I110" s="34"/>
    </row>
    <row r="112" spans="1:9">
      <c r="A112" s="29" t="s">
        <v>194</v>
      </c>
      <c r="B112" s="30" t="s">
        <v>186</v>
      </c>
      <c r="C112" s="30" t="s">
        <v>197</v>
      </c>
      <c r="D112" s="30" t="s">
        <v>187</v>
      </c>
      <c r="E112" s="30" t="s">
        <v>198</v>
      </c>
      <c r="F112" s="30" t="s">
        <v>188</v>
      </c>
      <c r="G112" s="30" t="s">
        <v>189</v>
      </c>
      <c r="H112" s="30" t="s">
        <v>185</v>
      </c>
      <c r="I112" s="31" t="s">
        <v>190</v>
      </c>
    </row>
    <row r="113" spans="1:9">
      <c r="A113" s="27" t="str">
        <f>+'4x4 MIX'!D23</f>
        <v>Ferwanek</v>
      </c>
      <c r="B113" s="24" cm="1">
        <f t="array" ref="B113">SUMPRODUCT(--('4x4 MIX'!C$29:C$43=Standings!A113),--('4x4 MIX'!I$29:I$43&lt;&gt;""))+SUMPRODUCT(--('4x4 MIX'!D$29:D$43=Standings!A113),--('4x4 MIX'!J$29:J$43&lt;&gt;""))</f>
        <v>0</v>
      </c>
      <c r="C113" s="24" cm="1">
        <f t="array" ref="C113">SUMPRODUCT(--('4x4 MIX'!C$29:C$43 = Standings!A113),--('4x4 MIX'!I$29:I$43&gt;'4x4 MIX'!J$29:J$43))+SUMPRODUCT(--('4x4 MIX'!D$29:D$43 = Standings!A113),--('4x4 MIX'!I$29:I$43&lt;'4x4 MIX'!J$29:J$43))</f>
        <v>0</v>
      </c>
      <c r="D113" s="24">
        <f t="shared" ref="D113:D115" si="56">+B113-C113-E113</f>
        <v>0</v>
      </c>
      <c r="E113" s="24" cm="1">
        <f t="array" ref="E113">SUMPRODUCT(--('4x4 MIX'!C$29:C$43 = Standings!A113),--('4x4 MIX'!I$29:I$43&lt;'4x4 MIX'!J$29:J$43))+SUMPRODUCT(--('4x4 MIX'!D$29:D$43 = Standings!A113),--('4x4 MIX'!I$29:I$43&gt;'4x4 MIX'!J$29:J$43))</f>
        <v>0</v>
      </c>
      <c r="F113" s="24">
        <f>+SUMIFS('4x4 MIX'!I$29:J$43,'4x4 MIX'!C$29:D$43,Standings!A113)</f>
        <v>0</v>
      </c>
      <c r="G113" s="24" cm="1">
        <f t="array" ref="G113">SUMPRODUCT(--('4x4 MIX'!C$29:C$43=Standings!A113),'4x4 MIX'!J$29:J$43)+SUMPRODUCT(--('4x4 MIX'!D$29:D$43=Standings!A113),'4x4 MIX'!I$29:I$43)</f>
        <v>0</v>
      </c>
      <c r="H113" s="24">
        <f t="shared" ref="H113:H115" si="57">+C113*2+D113*1</f>
        <v>0</v>
      </c>
      <c r="I113" s="28" t="e">
        <f t="shared" ref="I113:I115" si="58">+F113/G113</f>
        <v>#DIV/0!</v>
      </c>
    </row>
    <row r="114" spans="1:9">
      <c r="A114" s="27" t="str">
        <f>+'4x4 MIX'!D24</f>
        <v>Mela Blinders</v>
      </c>
      <c r="B114" s="24" cm="1">
        <f t="array" ref="B114">SUMPRODUCT(--('4x4 MIX'!C$29:C$43=Standings!A114),--('4x4 MIX'!I$29:I$43&lt;&gt;""))+SUMPRODUCT(--('4x4 MIX'!D$29:D$43=Standings!A114),--('4x4 MIX'!J$29:J$43&lt;&gt;""))</f>
        <v>0</v>
      </c>
      <c r="C114" s="24" cm="1">
        <f t="array" ref="C114">SUMPRODUCT(--('4x4 MIX'!C$29:C$43 = Standings!A114),--('4x4 MIX'!I$29:I$43&gt;'4x4 MIX'!J$29:J$43))+SUMPRODUCT(--('4x4 MIX'!D$29:D$43 = Standings!A114),--('4x4 MIX'!I$29:I$43&lt;'4x4 MIX'!J$29:J$43))</f>
        <v>0</v>
      </c>
      <c r="D114" s="24">
        <f t="shared" si="56"/>
        <v>0</v>
      </c>
      <c r="E114" s="24" cm="1">
        <f t="array" ref="E114">SUMPRODUCT(--('4x4 MIX'!C$29:C$43 = Standings!A114),--('4x4 MIX'!I$29:I$43&lt;'4x4 MIX'!J$29:J$43))+SUMPRODUCT(--('4x4 MIX'!D$29:D$43 = Standings!A114),--('4x4 MIX'!I$29:I$43&gt;'4x4 MIX'!J$29:J$43))</f>
        <v>0</v>
      </c>
      <c r="F114" s="24">
        <f>+SUMIFS('4x4 MIX'!I$29:J$43,'4x4 MIX'!C$29:D$43,Standings!A114)</f>
        <v>0</v>
      </c>
      <c r="G114" s="24" cm="1">
        <f t="array" ref="G114">SUMPRODUCT(--('4x4 MIX'!C$29:C$43=Standings!A114),'4x4 MIX'!J$29:J$43)+SUMPRODUCT(--('4x4 MIX'!D$29:D$43=Standings!A114),'4x4 MIX'!I$29:I$43)</f>
        <v>0</v>
      </c>
      <c r="H114" s="24">
        <f t="shared" si="57"/>
        <v>0</v>
      </c>
      <c r="I114" s="28" t="e">
        <f t="shared" si="58"/>
        <v>#DIV/0!</v>
      </c>
    </row>
    <row r="115" spans="1:9">
      <c r="A115" s="27" t="str">
        <f>+'4x4 MIX'!D25</f>
        <v>Sand by me</v>
      </c>
      <c r="B115" s="24" cm="1">
        <f t="array" ref="B115">SUMPRODUCT(--('4x4 MIX'!C$29:C$43=Standings!A115),--('4x4 MIX'!I$29:I$43&lt;&gt;""))+SUMPRODUCT(--('4x4 MIX'!D$29:D$43=Standings!A115),--('4x4 MIX'!J$29:J$43&lt;&gt;""))</f>
        <v>0</v>
      </c>
      <c r="C115" s="24" cm="1">
        <f t="array" ref="C115">SUMPRODUCT(--('4x4 MIX'!C$29:C$43 = Standings!A115),--('4x4 MIX'!I$29:I$43&gt;'4x4 MIX'!J$29:J$43))+SUMPRODUCT(--('4x4 MIX'!D$29:D$43 = Standings!A115),--('4x4 MIX'!I$29:I$43&lt;'4x4 MIX'!J$29:J$43))</f>
        <v>0</v>
      </c>
      <c r="D115" s="24">
        <f t="shared" si="56"/>
        <v>0</v>
      </c>
      <c r="E115" s="24" cm="1">
        <f t="array" ref="E115">SUMPRODUCT(--('4x4 MIX'!C$29:C$43 = Standings!A115),--('4x4 MIX'!I$29:I$43&lt;'4x4 MIX'!J$29:J$43))+SUMPRODUCT(--('4x4 MIX'!D$29:D$43 = Standings!A115),--('4x4 MIX'!I$29:I$43&gt;'4x4 MIX'!J$29:J$43))</f>
        <v>0</v>
      </c>
      <c r="F115" s="24">
        <f>+SUMIFS('4x4 MIX'!I$29:J$43,'4x4 MIX'!C$29:D$43,Standings!A115)</f>
        <v>0</v>
      </c>
      <c r="G115" s="24" cm="1">
        <f t="array" ref="G115">SUMPRODUCT(--('4x4 MIX'!C$29:C$43=Standings!A115),'4x4 MIX'!J$29:J$43)+SUMPRODUCT(--('4x4 MIX'!D$29:D$43=Standings!A115),'4x4 MIX'!I$29:I$43)</f>
        <v>0</v>
      </c>
      <c r="H115" s="24">
        <f t="shared" si="57"/>
        <v>0</v>
      </c>
      <c r="I115" s="28" t="e">
        <f t="shared" si="58"/>
        <v>#DIV/0!</v>
      </c>
    </row>
    <row r="116" spans="1:9">
      <c r="A116" s="32"/>
      <c r="B116" s="33"/>
      <c r="C116" s="33"/>
      <c r="D116" s="33"/>
      <c r="E116" s="33"/>
      <c r="F116" s="33"/>
      <c r="G116" s="33"/>
      <c r="H116" s="33"/>
      <c r="I116" s="34"/>
    </row>
    <row r="118" spans="1:9">
      <c r="A118" s="29" t="s">
        <v>195</v>
      </c>
      <c r="B118" s="30" t="s">
        <v>186</v>
      </c>
      <c r="C118" s="30" t="s">
        <v>197</v>
      </c>
      <c r="D118" s="30" t="s">
        <v>187</v>
      </c>
      <c r="E118" s="30" t="s">
        <v>198</v>
      </c>
      <c r="F118" s="30" t="s">
        <v>188</v>
      </c>
      <c r="G118" s="30" t="s">
        <v>189</v>
      </c>
      <c r="H118" s="30" t="s">
        <v>185</v>
      </c>
      <c r="I118" s="31" t="s">
        <v>190</v>
      </c>
    </row>
    <row r="119" spans="1:9">
      <c r="A119" s="27" t="str">
        <f>+'4x4 MIX'!E23</f>
        <v>Sometimes maybe good</v>
      </c>
      <c r="B119" s="24" cm="1">
        <f t="array" ref="B119">SUMPRODUCT(--('4x4 MIX'!C$29:C$43=Standings!A119),--('4x4 MIX'!I$29:I$43&lt;&gt;""))+SUMPRODUCT(--('4x4 MIX'!D$29:D$43=Standings!A119),--('4x4 MIX'!J$29:J$43&lt;&gt;""))</f>
        <v>0</v>
      </c>
      <c r="C119" s="24" cm="1">
        <f t="array" ref="C119">SUMPRODUCT(--('4x4 MIX'!C$29:C$43 = Standings!A119),--('4x4 MIX'!I$29:I$43&gt;'4x4 MIX'!J$29:J$43))+SUMPRODUCT(--('4x4 MIX'!D$29:D$43 = Standings!A119),--('4x4 MIX'!I$29:I$43&lt;'4x4 MIX'!J$29:J$43))</f>
        <v>0</v>
      </c>
      <c r="D119" s="24">
        <f t="shared" ref="D119:D121" si="59">+B119-C119-E119</f>
        <v>0</v>
      </c>
      <c r="E119" s="24" cm="1">
        <f t="array" ref="E119">SUMPRODUCT(--('4x4 MIX'!C$29:C$43 = Standings!A119),--('4x4 MIX'!I$29:I$43&lt;'4x4 MIX'!J$29:J$43))+SUMPRODUCT(--('4x4 MIX'!D$29:D$43 = Standings!A119),--('4x4 MIX'!I$29:I$43&gt;'4x4 MIX'!J$29:J$43))</f>
        <v>0</v>
      </c>
      <c r="F119" s="24">
        <f>+SUMIFS('4x4 MIX'!I$29:J$43,'4x4 MIX'!C$29:D$43,Standings!A119)</f>
        <v>0</v>
      </c>
      <c r="G119" s="24" cm="1">
        <f t="array" ref="G119">SUMPRODUCT(--('4x4 MIX'!C$29:C$43=Standings!A119),'4x4 MIX'!J$29:J$43)+SUMPRODUCT(--('4x4 MIX'!D$29:D$43=Standings!A119),'4x4 MIX'!I$29:I$43)</f>
        <v>0</v>
      </c>
      <c r="H119" s="24">
        <f t="shared" ref="H119:H121" si="60">+C119*2+D119*1</f>
        <v>0</v>
      </c>
      <c r="I119" s="28" t="e">
        <f t="shared" ref="I119:I121" si="61">+F119/G119</f>
        <v>#DIV/0!</v>
      </c>
    </row>
    <row r="120" spans="1:9">
      <c r="A120" s="27" t="str">
        <f>+'4x4 MIX'!E24</f>
        <v>EUROPOL 4 MIX</v>
      </c>
      <c r="B120" s="24" cm="1">
        <f t="array" ref="B120">SUMPRODUCT(--('4x4 MIX'!C$29:C$43=Standings!A120),--('4x4 MIX'!I$29:I$43&lt;&gt;""))+SUMPRODUCT(--('4x4 MIX'!D$29:D$43=Standings!A120),--('4x4 MIX'!J$29:J$43&lt;&gt;""))</f>
        <v>0</v>
      </c>
      <c r="C120" s="24" cm="1">
        <f t="array" ref="C120">SUMPRODUCT(--('4x4 MIX'!C$29:C$43 = Standings!A120),--('4x4 MIX'!I$29:I$43&gt;'4x4 MIX'!J$29:J$43))+SUMPRODUCT(--('4x4 MIX'!D$29:D$43 = Standings!A120),--('4x4 MIX'!I$29:I$43&lt;'4x4 MIX'!J$29:J$43))</f>
        <v>0</v>
      </c>
      <c r="D120" s="24">
        <f t="shared" si="59"/>
        <v>0</v>
      </c>
      <c r="E120" s="24" cm="1">
        <f t="array" ref="E120">SUMPRODUCT(--('4x4 MIX'!C$29:C$43 = Standings!A120),--('4x4 MIX'!I$29:I$43&lt;'4x4 MIX'!J$29:J$43))+SUMPRODUCT(--('4x4 MIX'!D$29:D$43 = Standings!A120),--('4x4 MIX'!I$29:I$43&gt;'4x4 MIX'!J$29:J$43))</f>
        <v>0</v>
      </c>
      <c r="F120" s="24">
        <f>+SUMIFS('4x4 MIX'!I$29:J$43,'4x4 MIX'!C$29:D$43,Standings!A120)</f>
        <v>0</v>
      </c>
      <c r="G120" s="24" cm="1">
        <f t="array" ref="G120">SUMPRODUCT(--('4x4 MIX'!C$29:C$43=Standings!A120),'4x4 MIX'!J$29:J$43)+SUMPRODUCT(--('4x4 MIX'!D$29:D$43=Standings!A120),'4x4 MIX'!I$29:I$43)</f>
        <v>0</v>
      </c>
      <c r="H120" s="24">
        <f t="shared" si="60"/>
        <v>0</v>
      </c>
      <c r="I120" s="28" t="e">
        <f t="shared" si="61"/>
        <v>#DIV/0!</v>
      </c>
    </row>
    <row r="121" spans="1:9">
      <c r="A121" s="27" t="str">
        <f>+'4x4 MIX'!E25</f>
        <v>Upsand Down</v>
      </c>
      <c r="B121" s="24" cm="1">
        <f t="array" ref="B121">SUMPRODUCT(--('4x4 MIX'!C$29:C$43=Standings!A121),--('4x4 MIX'!I$29:I$43&lt;&gt;""))+SUMPRODUCT(--('4x4 MIX'!D$29:D$43=Standings!A121),--('4x4 MIX'!J$29:J$43&lt;&gt;""))</f>
        <v>0</v>
      </c>
      <c r="C121" s="24" cm="1">
        <f t="array" ref="C121">SUMPRODUCT(--('4x4 MIX'!C$29:C$43 = Standings!A121),--('4x4 MIX'!I$29:I$43&gt;'4x4 MIX'!J$29:J$43))+SUMPRODUCT(--('4x4 MIX'!D$29:D$43 = Standings!A121),--('4x4 MIX'!I$29:I$43&lt;'4x4 MIX'!J$29:J$43))</f>
        <v>0</v>
      </c>
      <c r="D121" s="24">
        <f t="shared" si="59"/>
        <v>0</v>
      </c>
      <c r="E121" s="24" cm="1">
        <f t="array" ref="E121">SUMPRODUCT(--('4x4 MIX'!C$29:C$43 = Standings!A121),--('4x4 MIX'!I$29:I$43&lt;'4x4 MIX'!J$29:J$43))+SUMPRODUCT(--('4x4 MIX'!D$29:D$43 = Standings!A121),--('4x4 MIX'!I$29:I$43&gt;'4x4 MIX'!J$29:J$43))</f>
        <v>0</v>
      </c>
      <c r="F121" s="24">
        <f>+SUMIFS('4x4 MIX'!I$29:J$43,'4x4 MIX'!C$29:D$43,Standings!A121)</f>
        <v>0</v>
      </c>
      <c r="G121" s="24" cm="1">
        <f t="array" ref="G121">SUMPRODUCT(--('4x4 MIX'!C$29:C$43=Standings!A121),'4x4 MIX'!J$29:J$43)+SUMPRODUCT(--('4x4 MIX'!D$29:D$43=Standings!A121),'4x4 MIX'!I$29:I$43)</f>
        <v>0</v>
      </c>
      <c r="H121" s="24">
        <f t="shared" si="60"/>
        <v>0</v>
      </c>
      <c r="I121" s="28" t="e">
        <f t="shared" si="61"/>
        <v>#DIV/0!</v>
      </c>
    </row>
    <row r="122" spans="1:9">
      <c r="A122" s="32"/>
      <c r="B122" s="33"/>
      <c r="C122" s="33"/>
      <c r="D122" s="33"/>
      <c r="E122" s="33"/>
      <c r="F122" s="33"/>
      <c r="G122" s="33"/>
      <c r="H122" s="33"/>
      <c r="I122" s="34"/>
    </row>
  </sheetData>
  <pageMargins left="0.7" right="0.7" top="0.75" bottom="0.75" header="0.3" footer="0.3"/>
  <tableParts count="18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2:F26"/>
  <sheetViews>
    <sheetView workbookViewId="0">
      <selection activeCell="J12" sqref="J12"/>
    </sheetView>
  </sheetViews>
  <sheetFormatPr defaultColWidth="12.5703125" defaultRowHeight="15" customHeight="1"/>
  <sheetData>
    <row r="2" spans="2:6">
      <c r="B2" s="14"/>
      <c r="C2" s="197" t="s">
        <v>169</v>
      </c>
      <c r="D2" s="176"/>
      <c r="E2" s="176"/>
      <c r="F2" s="198"/>
    </row>
    <row r="3" spans="2:6">
      <c r="B3" s="15" t="s">
        <v>48</v>
      </c>
      <c r="C3" s="15" t="s">
        <v>170</v>
      </c>
      <c r="D3" s="15" t="s">
        <v>171</v>
      </c>
      <c r="E3" s="15" t="s">
        <v>52</v>
      </c>
      <c r="F3" s="15" t="s">
        <v>54</v>
      </c>
    </row>
    <row r="4" spans="2:6">
      <c r="B4" s="15" t="s">
        <v>172</v>
      </c>
      <c r="C4" s="14"/>
      <c r="D4" s="14"/>
      <c r="E4" s="15">
        <v>1</v>
      </c>
      <c r="F4" s="16">
        <f>'General settings'!C$5</f>
        <v>0.375</v>
      </c>
    </row>
    <row r="5" spans="2:6">
      <c r="B5" s="15" t="s">
        <v>172</v>
      </c>
      <c r="C5" s="14"/>
      <c r="D5" s="14"/>
      <c r="E5" s="15">
        <v>2</v>
      </c>
      <c r="F5" s="16">
        <f>'General settings'!C$5</f>
        <v>0.375</v>
      </c>
    </row>
    <row r="6" spans="2:6">
      <c r="B6" s="15" t="s">
        <v>173</v>
      </c>
      <c r="C6" s="14"/>
      <c r="D6" s="14"/>
      <c r="E6" s="15">
        <v>3</v>
      </c>
      <c r="F6" s="16">
        <f>'General settings'!C$5</f>
        <v>0.375</v>
      </c>
    </row>
    <row r="7" spans="2:6">
      <c r="B7" s="15" t="s">
        <v>173</v>
      </c>
      <c r="C7" s="14"/>
      <c r="D7" s="14"/>
      <c r="E7" s="15">
        <v>4</v>
      </c>
      <c r="F7" s="16">
        <f>'General settings'!C$5</f>
        <v>0.375</v>
      </c>
    </row>
    <row r="8" spans="2:6">
      <c r="B8" s="15" t="s">
        <v>131</v>
      </c>
      <c r="C8" s="14"/>
      <c r="D8" s="14"/>
      <c r="E8" s="15">
        <v>1</v>
      </c>
      <c r="F8" s="16">
        <f>F4+'General settings'!C$4/1440</f>
        <v>0.39097222222222222</v>
      </c>
    </row>
    <row r="9" spans="2:6">
      <c r="B9" s="15" t="s">
        <v>131</v>
      </c>
      <c r="C9" s="14"/>
      <c r="D9" s="14"/>
      <c r="E9" s="15">
        <v>2</v>
      </c>
      <c r="F9" s="16">
        <f>F5+'General settings'!C$4/1440</f>
        <v>0.39097222222222222</v>
      </c>
    </row>
    <row r="10" spans="2:6">
      <c r="B10" s="15" t="s">
        <v>174</v>
      </c>
      <c r="C10" s="14"/>
      <c r="D10" s="14"/>
      <c r="E10" s="15">
        <v>3</v>
      </c>
      <c r="F10" s="16">
        <f>F6+'General settings'!C$4/1440</f>
        <v>0.39097222222222222</v>
      </c>
    </row>
    <row r="11" spans="2:6">
      <c r="B11" s="15" t="s">
        <v>174</v>
      </c>
      <c r="C11" s="14"/>
      <c r="D11" s="14"/>
      <c r="E11" s="15">
        <v>4</v>
      </c>
      <c r="F11" s="16">
        <f>F7+'General settings'!C$4/1440</f>
        <v>0.39097222222222222</v>
      </c>
    </row>
    <row r="14" spans="2:6">
      <c r="B14" s="14"/>
      <c r="C14" s="197" t="s">
        <v>204</v>
      </c>
      <c r="D14" s="176"/>
      <c r="E14" s="176"/>
      <c r="F14" s="198"/>
    </row>
    <row r="15" spans="2:6">
      <c r="B15" s="15" t="s">
        <v>48</v>
      </c>
      <c r="C15" s="15" t="s">
        <v>170</v>
      </c>
      <c r="D15" s="15" t="s">
        <v>171</v>
      </c>
      <c r="E15" s="15" t="s">
        <v>52</v>
      </c>
      <c r="F15" s="15" t="s">
        <v>54</v>
      </c>
    </row>
    <row r="16" spans="2:6">
      <c r="B16" s="15" t="s">
        <v>172</v>
      </c>
      <c r="C16" s="14"/>
      <c r="D16" s="14"/>
      <c r="E16" s="15">
        <v>1</v>
      </c>
      <c r="F16" s="16">
        <f>'General settings'!C$6</f>
        <v>0.4375</v>
      </c>
    </row>
    <row r="17" spans="2:6">
      <c r="B17" s="15" t="s">
        <v>173</v>
      </c>
      <c r="C17" s="14"/>
      <c r="D17" s="14"/>
      <c r="E17" s="15">
        <v>2</v>
      </c>
      <c r="F17" s="16">
        <f>'General settings'!C$6</f>
        <v>0.4375</v>
      </c>
    </row>
    <row r="18" spans="2:6">
      <c r="B18" s="15" t="s">
        <v>131</v>
      </c>
      <c r="C18" s="14"/>
      <c r="D18" s="14"/>
      <c r="E18" s="15">
        <v>3</v>
      </c>
      <c r="F18" s="16">
        <f>'General settings'!C$6</f>
        <v>0.4375</v>
      </c>
    </row>
    <row r="19" spans="2:6">
      <c r="B19" s="15" t="s">
        <v>174</v>
      </c>
      <c r="C19" s="14"/>
      <c r="D19" s="14"/>
      <c r="E19" s="15">
        <v>4</v>
      </c>
      <c r="F19" s="16">
        <f>'General settings'!C$6</f>
        <v>0.4375</v>
      </c>
    </row>
    <row r="21" spans="2:6" ht="15" customHeight="1">
      <c r="B21" s="14"/>
      <c r="C21" s="197" t="s">
        <v>206</v>
      </c>
      <c r="D21" s="176"/>
      <c r="E21" s="176"/>
      <c r="F21" s="198"/>
    </row>
    <row r="22" spans="2:6" ht="15" customHeight="1">
      <c r="B22" s="15" t="s">
        <v>48</v>
      </c>
      <c r="C22" s="15" t="s">
        <v>170</v>
      </c>
      <c r="D22" s="15" t="s">
        <v>171</v>
      </c>
      <c r="E22" s="15" t="s">
        <v>52</v>
      </c>
      <c r="F22" s="15" t="s">
        <v>54</v>
      </c>
    </row>
    <row r="23" spans="2:6" ht="15" customHeight="1">
      <c r="B23" s="15" t="s">
        <v>172</v>
      </c>
      <c r="C23" s="14"/>
      <c r="D23" s="14"/>
      <c r="E23" s="15">
        <v>1</v>
      </c>
      <c r="F23" s="16">
        <f>F16+2*'General settings'!C$4/1440</f>
        <v>0.46944444444444444</v>
      </c>
    </row>
    <row r="24" spans="2:6" ht="15" customHeight="1">
      <c r="B24" s="15" t="s">
        <v>173</v>
      </c>
      <c r="C24" s="14"/>
      <c r="D24" s="14"/>
      <c r="E24" s="15">
        <v>2</v>
      </c>
      <c r="F24" s="16">
        <f>F17+2*'General settings'!C$4/1440</f>
        <v>0.46944444444444444</v>
      </c>
    </row>
    <row r="25" spans="2:6" ht="15" customHeight="1">
      <c r="B25" s="15" t="s">
        <v>131</v>
      </c>
      <c r="C25" s="14"/>
      <c r="D25" s="14"/>
      <c r="E25" s="15">
        <v>3</v>
      </c>
      <c r="F25" s="16">
        <f>F18+2*'General settings'!C$4/1440</f>
        <v>0.46944444444444444</v>
      </c>
    </row>
    <row r="26" spans="2:6" ht="15" customHeight="1">
      <c r="B26" s="15" t="s">
        <v>174</v>
      </c>
      <c r="C26" s="14"/>
      <c r="D26" s="14"/>
      <c r="E26" s="15">
        <v>4</v>
      </c>
      <c r="F26" s="16">
        <f>F19+2*'General settings'!C$4/1440</f>
        <v>0.46944444444444444</v>
      </c>
    </row>
  </sheetData>
  <mergeCells count="3">
    <mergeCell ref="C2:F2"/>
    <mergeCell ref="C14:F14"/>
    <mergeCell ref="C21:F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C9BCB-65D6-48DF-A418-068F8105DE3A}">
  <dimension ref="B1:AE89"/>
  <sheetViews>
    <sheetView zoomScaleNormal="100" workbookViewId="0">
      <selection activeCell="F7" sqref="F7"/>
    </sheetView>
  </sheetViews>
  <sheetFormatPr defaultRowHeight="15"/>
  <cols>
    <col min="2" max="2" width="25.7109375" bestFit="1" customWidth="1"/>
    <col min="3" max="3" width="12.85546875" bestFit="1" customWidth="1"/>
    <col min="10" max="10" width="6" bestFit="1" customWidth="1"/>
    <col min="11" max="11" width="25.7109375" bestFit="1" customWidth="1"/>
    <col min="28" max="29" width="8.140625" bestFit="1" customWidth="1"/>
  </cols>
  <sheetData>
    <row r="1" spans="2:23">
      <c r="B1" t="s">
        <v>201</v>
      </c>
      <c r="C1" t="s">
        <v>186</v>
      </c>
    </row>
    <row r="2" spans="2:23">
      <c r="B2" t="str" cm="1">
        <f t="array" ref="B2:B83">_xlfn._xlws.SORT(_xlfn.UNIQUE(_xlfn.TOCOL(Global!J5:U96,1,1)))</f>
        <v>Ackerl Reinhard</v>
      </c>
      <c r="C2">
        <f>COUNTIF(Global!J$5:U$96,B2)</f>
        <v>7</v>
      </c>
      <c r="E2" t="s">
        <v>186</v>
      </c>
    </row>
    <row r="3" spans="2:23">
      <c r="B3" t="str">
        <v>Aleksandra Wajda</v>
      </c>
      <c r="C3" s="88">
        <f>COUNTIF(Global!J$5:U$96,B3)</f>
        <v>4</v>
      </c>
      <c r="E3" cm="1">
        <f t="array" ref="E3:E11">_xlfn._xlws.SORT(_xlfn.UNIQUE($C$2:$C$87))</f>
        <v>0</v>
      </c>
      <c r="F3">
        <f>COUNTIF($C$2:$C$87,E3)</f>
        <v>4</v>
      </c>
      <c r="J3" t="b">
        <f>COUNTA(L3:T3)&gt;COUNTA(_xlfn.UNIQUE(_xlfn.TOCOL(L3:T3,1)))</f>
        <v>0</v>
      </c>
      <c r="K3" t="str" cm="1">
        <f t="array" ref="K3:K84">+_xlfn.UNIQUE(_xlfn.TOCOL(Global!J5:U96,3,1))</f>
        <v>Monika Ciesielska</v>
      </c>
      <c r="L3" s="83" cm="1">
        <f t="array" ref="L3:P3">_xlfn.LET(_xlpm.nome,K3,_xlpm.orari,Global!$G$5:$G$96,_xlpm.nomi,Global!$J$5:$U$96,IFERROR(_xlfn.TOROW(_xlfn._xlws.SORT(_xlfn.UNIQUE(_xlfn._xlws.FILTER(_xlpm.orari,_xlfn.BYROW(_xlpm.nomi,_xlfn.LAMBDA(_xlpm.r,COUNTIF(_xlpm.r,_xlpm.nome)&gt;0)) )))),""))</f>
        <v>0.375</v>
      </c>
      <c r="M3" s="83">
        <v>0.40694444444444444</v>
      </c>
      <c r="N3" s="83">
        <v>0.61458333333333359</v>
      </c>
      <c r="O3" s="83">
        <v>0.66250000000000031</v>
      </c>
      <c r="P3" s="83">
        <v>0.74236111111111192</v>
      </c>
      <c r="Q3" s="83"/>
      <c r="R3" s="83"/>
      <c r="S3" s="83"/>
      <c r="T3" s="83"/>
    </row>
    <row r="4" spans="2:23">
      <c r="B4" t="str">
        <v>Alex Gentimis</v>
      </c>
      <c r="C4" s="88">
        <f>COUNTIF(Global!J$5:U$96,B4)</f>
        <v>3</v>
      </c>
      <c r="E4">
        <v>2</v>
      </c>
      <c r="F4" s="87">
        <f t="shared" ref="F4:F11" si="0">COUNTIF($C$2:$C$87,E4)</f>
        <v>16</v>
      </c>
      <c r="J4" s="75" t="b">
        <f t="shared" ref="J4:J67" si="1">COUNTA(L4:T4)&gt;COUNTA(_xlfn.UNIQUE(_xlfn.TOCOL(L4:T4,1)))</f>
        <v>0</v>
      </c>
      <c r="K4" t="str">
        <v>Anna Sofia Messeri</v>
      </c>
      <c r="L4" s="83" cm="1">
        <f t="array" ref="L4:S4">_xlfn.LET(_xlpm.nome,K4,_xlpm.orari,Global!$G$5:$G$96,_xlpm.nomi,Global!$J$5:$U$96,IFERROR(_xlfn.TOROW(_xlfn._xlws.SORT(_xlfn.UNIQUE(_xlfn._xlws.FILTER(_xlpm.orari,_xlfn.BYROW(_xlpm.nomi,_xlfn.LAMBDA(_xlpm.r,COUNTIF(_xlpm.r,_xlpm.nome)&gt;0)) )))),""))</f>
        <v>0.375</v>
      </c>
      <c r="M4" s="83">
        <v>0.40694444444444444</v>
      </c>
      <c r="N4" s="83">
        <v>0.47083333333333333</v>
      </c>
      <c r="O4" s="83">
        <v>0.50277777777777777</v>
      </c>
      <c r="P4" s="83">
        <v>0.53472222222222232</v>
      </c>
      <c r="Q4" s="83">
        <v>0.6145833333333337</v>
      </c>
      <c r="R4" s="83">
        <v>0.66250000000000053</v>
      </c>
      <c r="S4" s="83">
        <v>0.75833333333333419</v>
      </c>
      <c r="T4" s="83"/>
      <c r="U4" s="75"/>
      <c r="V4" s="75"/>
      <c r="W4" s="75"/>
    </row>
    <row r="5" spans="2:23">
      <c r="B5" t="str">
        <v xml:space="preserve">Amedja Ecki </v>
      </c>
      <c r="C5" s="88">
        <f>COUNTIF(Global!J$5:U$96,B5)</f>
        <v>2</v>
      </c>
      <c r="E5">
        <v>3</v>
      </c>
      <c r="F5" s="87">
        <f t="shared" si="0"/>
        <v>1</v>
      </c>
      <c r="J5" s="75" t="b">
        <f t="shared" si="1"/>
        <v>0</v>
      </c>
      <c r="K5" t="str">
        <v>CSENKE JUDIT</v>
      </c>
      <c r="L5" s="83" cm="1">
        <f t="array" ref="L5:Q5">_xlfn.LET(_xlpm.nome,K5,_xlpm.orari,Global!$G$5:$G$96,_xlpm.nomi,Global!$J$5:$U$96,IFERROR(_xlfn.TOROW(_xlfn._xlws.SORT(_xlfn.UNIQUE(_xlfn._xlws.FILTER(_xlpm.orari,_xlfn.BYROW(_xlpm.nomi,_xlfn.LAMBDA(_xlpm.r,COUNTIF(_xlpm.r,_xlpm.nome)&gt;0)) )))),""))</f>
        <v>0.375</v>
      </c>
      <c r="M5" s="83">
        <v>0.42291666666666666</v>
      </c>
      <c r="N5" s="83">
        <v>0.59861111111111143</v>
      </c>
      <c r="O5" s="83">
        <v>0.64652777777777826</v>
      </c>
      <c r="P5" s="83">
        <v>0.72638888888888964</v>
      </c>
      <c r="Q5" s="83">
        <v>0.79027777777777874</v>
      </c>
      <c r="R5" s="83"/>
      <c r="S5" s="83"/>
      <c r="T5" s="83"/>
      <c r="U5" s="75"/>
      <c r="V5" s="75"/>
      <c r="W5" s="75"/>
    </row>
    <row r="6" spans="2:23">
      <c r="B6" t="str">
        <v>Anna Isabel</v>
      </c>
      <c r="C6" s="88">
        <f>COUNTIF(Global!J$5:U$96,B6)</f>
        <v>2</v>
      </c>
      <c r="E6">
        <v>4</v>
      </c>
      <c r="F6" s="87">
        <f t="shared" si="0"/>
        <v>6</v>
      </c>
      <c r="J6" s="87" t="b">
        <f t="shared" si="1"/>
        <v>0</v>
      </c>
      <c r="K6" t="str">
        <v>Aleksandra Wajda</v>
      </c>
      <c r="L6" s="83" cm="1">
        <f t="array" ref="L6:O6">_xlfn.LET(_xlpm.nome,K6,_xlpm.orari,Global!$G$5:$G$96,_xlpm.nomi,Global!$J$5:$U$96,IFERROR(_xlfn.TOROW(_xlfn._xlws.SORT(_xlfn.UNIQUE(_xlfn._xlws.FILTER(_xlpm.orari,_xlfn.BYROW(_xlpm.nomi,_xlfn.LAMBDA(_xlpm.r,COUNTIF(_xlpm.r,_xlpm.nome)&gt;0)) )))),""))</f>
        <v>0.375</v>
      </c>
      <c r="M6" s="83">
        <v>0.42291666666666666</v>
      </c>
      <c r="N6" s="83">
        <v>0.4548611111111111</v>
      </c>
      <c r="O6" s="83">
        <v>0.48680555555555555</v>
      </c>
      <c r="P6" s="83"/>
      <c r="Q6" s="83"/>
      <c r="R6" s="83"/>
      <c r="S6" s="83"/>
      <c r="T6" s="83"/>
      <c r="U6" s="75"/>
      <c r="V6" s="75"/>
      <c r="W6" s="75"/>
    </row>
    <row r="7" spans="2:23">
      <c r="B7" t="str">
        <v>Anna Jaroszuk</v>
      </c>
      <c r="C7" s="88">
        <f>COUNTIF(Global!J$5:U$96,B7)</f>
        <v>7</v>
      </c>
      <c r="E7">
        <v>5</v>
      </c>
      <c r="F7" s="87">
        <f t="shared" si="0"/>
        <v>22</v>
      </c>
      <c r="J7" s="87" t="b">
        <f t="shared" si="1"/>
        <v>0</v>
      </c>
      <c r="K7" t="str">
        <v>Seixas Joao</v>
      </c>
      <c r="L7" s="83" cm="1">
        <f t="array" ref="L7:S7">_xlfn.LET(_xlpm.nome,K7,_xlpm.orari,Global!$G$5:$G$96,_xlpm.nomi,Global!$J$5:$U$96,IFERROR(_xlfn.TOROW(_xlfn._xlws.SORT(_xlfn.UNIQUE(_xlfn._xlws.FILTER(_xlpm.orari,_xlfn.BYROW(_xlpm.nomi,_xlfn.LAMBDA(_xlpm.r,COUNTIF(_xlpm.r,_xlpm.nome)&gt;0)) )))),""))</f>
        <v>0.39097222222222222</v>
      </c>
      <c r="M7" s="83">
        <v>0.42291666666666666</v>
      </c>
      <c r="N7" s="83">
        <v>0.47083333333333333</v>
      </c>
      <c r="O7" s="83">
        <v>0.53472222222222232</v>
      </c>
      <c r="P7" s="83">
        <v>0.59861111111111143</v>
      </c>
      <c r="Q7" s="83">
        <v>0.67847222222222259</v>
      </c>
      <c r="R7" s="83">
        <v>0.77430555555555647</v>
      </c>
      <c r="S7" s="83">
        <v>0.79027777777777874</v>
      </c>
      <c r="T7" s="83"/>
      <c r="U7" s="75"/>
      <c r="V7" s="75"/>
      <c r="W7" s="75"/>
    </row>
    <row r="8" spans="2:23">
      <c r="B8" t="str">
        <v>Anna Sofia Messeri</v>
      </c>
      <c r="C8" s="88">
        <f>COUNTIF(Global!J$5:U$96,B8)</f>
        <v>8</v>
      </c>
      <c r="E8">
        <v>6</v>
      </c>
      <c r="F8" s="87">
        <f t="shared" si="0"/>
        <v>6</v>
      </c>
      <c r="J8" s="87" t="b">
        <f t="shared" si="1"/>
        <v>0</v>
      </c>
      <c r="K8" t="str">
        <v>Tania</v>
      </c>
      <c r="L8" s="83" cm="1">
        <f t="array" ref="L8:O8">_xlfn.LET(_xlpm.nome,K8,_xlpm.orari,Global!$G$5:$G$96,_xlpm.nomi,Global!$J$5:$U$96,IFERROR(_xlfn.TOROW(_xlfn._xlws.SORT(_xlfn.UNIQUE(_xlfn._xlws.FILTER(_xlpm.orari,_xlfn.BYROW(_xlpm.nomi,_xlfn.LAMBDA(_xlpm.r,COUNTIF(_xlpm.r,_xlpm.nome)&gt;0)) )))),""))</f>
        <v>0.375</v>
      </c>
      <c r="M8" s="83">
        <v>0.39097222222222222</v>
      </c>
      <c r="N8" s="83">
        <v>0.4548611111111111</v>
      </c>
      <c r="O8" s="83">
        <v>0.51875000000000004</v>
      </c>
      <c r="P8" s="83"/>
      <c r="Q8" s="83"/>
      <c r="R8" s="83"/>
      <c r="S8" s="83"/>
      <c r="T8" s="83"/>
      <c r="U8" s="75"/>
      <c r="V8" s="75"/>
      <c r="W8" s="75"/>
    </row>
    <row r="9" spans="2:23">
      <c r="B9" t="str">
        <v>ANTONELLI Margherita</v>
      </c>
      <c r="C9" s="88">
        <f>COUNTIF(Global!J$5:U$96,B9)</f>
        <v>2</v>
      </c>
      <c r="E9">
        <v>7</v>
      </c>
      <c r="F9" s="87">
        <f t="shared" si="0"/>
        <v>14</v>
      </c>
      <c r="J9" s="87" t="b">
        <f t="shared" si="1"/>
        <v>0</v>
      </c>
      <c r="K9" t="str">
        <v>Mihaela Pereteatcu</v>
      </c>
      <c r="L9" s="83" cm="1">
        <f t="array" ref="L9:P9">_xlfn.LET(_xlpm.nome,K9,_xlpm.orari,Global!$G$5:$G$96,_xlpm.nomi,Global!$J$5:$U$96,IFERROR(_xlfn.TOROW(_xlfn._xlws.SORT(_xlfn.UNIQUE(_xlfn._xlws.FILTER(_xlpm.orari,_xlfn.BYROW(_xlpm.nomi,_xlfn.LAMBDA(_xlpm.r,COUNTIF(_xlpm.r,_xlpm.nome)&gt;0)) )))),""))</f>
        <v>0.375</v>
      </c>
      <c r="M9" s="83">
        <v>0.39097222222222222</v>
      </c>
      <c r="N9" s="83">
        <v>0.63055555555555576</v>
      </c>
      <c r="O9" s="83">
        <v>0.64652777777777826</v>
      </c>
      <c r="P9" s="83">
        <v>0.69444444444444509</v>
      </c>
      <c r="Q9" s="83"/>
      <c r="R9" s="83"/>
      <c r="S9" s="83"/>
      <c r="T9" s="83"/>
      <c r="U9" s="87"/>
      <c r="V9" s="87"/>
      <c r="W9" s="75"/>
    </row>
    <row r="10" spans="2:23">
      <c r="B10" t="str">
        <v>BILLERAULT AURELIEN</v>
      </c>
      <c r="C10" s="88">
        <f>COUNTIF(Global!J$5:U$96,B10)</f>
        <v>6</v>
      </c>
      <c r="E10">
        <v>8</v>
      </c>
      <c r="F10" s="87">
        <f t="shared" si="0"/>
        <v>16</v>
      </c>
      <c r="J10" s="87" t="b">
        <f t="shared" si="1"/>
        <v>0</v>
      </c>
      <c r="K10" t="str">
        <v>Kralova Irena</v>
      </c>
      <c r="L10" s="83" cm="1">
        <f t="array" ref="L10:S10">_xlfn.LET(_xlpm.nome,K10,_xlpm.orari,Global!$G$5:$G$96,_xlpm.nomi,Global!$J$5:$U$96,IFERROR(_xlfn.TOROW(_xlfn._xlws.SORT(_xlfn.UNIQUE(_xlfn._xlws.FILTER(_xlpm.orari,_xlfn.BYROW(_xlpm.nomi,_xlfn.LAMBDA(_xlpm.r,COUNTIF(_xlpm.r,_xlpm.nome)&gt;0)) )))),""))</f>
        <v>0.375</v>
      </c>
      <c r="M10" s="83">
        <v>0.39097222222222222</v>
      </c>
      <c r="N10" s="83">
        <v>0.4548611111111111</v>
      </c>
      <c r="O10" s="83">
        <v>0.53472222222222232</v>
      </c>
      <c r="P10" s="83">
        <v>0.56666666666666687</v>
      </c>
      <c r="Q10" s="83">
        <v>0.6145833333333337</v>
      </c>
      <c r="R10" s="83">
        <v>0.69444444444444486</v>
      </c>
      <c r="S10" s="83">
        <v>0.71041666666666736</v>
      </c>
      <c r="T10" s="83"/>
      <c r="U10" s="75"/>
      <c r="V10" s="75"/>
      <c r="W10" s="75"/>
    </row>
    <row r="11" spans="2:23">
      <c r="B11" t="str">
        <v>Boba</v>
      </c>
      <c r="C11" s="88">
        <f>COUNTIF(Global!J$5:U$96,B11)</f>
        <v>7</v>
      </c>
      <c r="E11">
        <v>9</v>
      </c>
      <c r="F11" s="88">
        <f t="shared" si="0"/>
        <v>1</v>
      </c>
      <c r="J11" s="87" t="b">
        <f t="shared" si="1"/>
        <v>0</v>
      </c>
      <c r="K11" t="str">
        <v>Filothei</v>
      </c>
      <c r="L11" s="83" cm="1">
        <f t="array" ref="L11:P11">_xlfn.LET(_xlpm.nome,K11,_xlpm.orari,Global!$G$5:$G$96,_xlpm.nomi,Global!$J$5:$U$96,IFERROR(_xlfn.TOROW(_xlfn._xlws.SORT(_xlfn.UNIQUE(_xlfn._xlws.FILTER(_xlpm.orari,_xlfn.BYROW(_xlpm.nomi,_xlfn.LAMBDA(_xlpm.r,COUNTIF(_xlpm.r,_xlpm.nome)&gt;0)) )))),""))</f>
        <v>0.375</v>
      </c>
      <c r="M11" s="83">
        <v>0.40694444444444444</v>
      </c>
      <c r="N11" s="83">
        <v>0.48680555555555555</v>
      </c>
      <c r="O11" s="83">
        <v>0.50277777777777777</v>
      </c>
      <c r="P11" s="83">
        <v>0.53472222222222232</v>
      </c>
      <c r="Q11" s="83"/>
      <c r="R11" s="83"/>
      <c r="S11" s="83"/>
      <c r="T11" s="83"/>
      <c r="U11" s="75"/>
      <c r="V11" s="75"/>
      <c r="W11" s="75"/>
    </row>
    <row r="12" spans="2:23">
      <c r="B12" t="str">
        <v xml:space="preserve">Bonato Stefano </v>
      </c>
      <c r="C12" s="88">
        <f>COUNTIF(Global!J$5:U$96,B12)</f>
        <v>7</v>
      </c>
      <c r="J12" s="87" t="b">
        <f t="shared" si="1"/>
        <v>0</v>
      </c>
      <c r="K12" t="str">
        <v>Stanciu Anca</v>
      </c>
      <c r="L12" s="83" cm="1">
        <f t="array" ref="L12:R12">_xlfn.LET(_xlpm.nome,K12,_xlpm.orari,Global!$G$5:$G$96,_xlpm.nomi,Global!$J$5:$U$96,IFERROR(_xlfn.TOROW(_xlfn._xlws.SORT(_xlfn.UNIQUE(_xlfn._xlws.FILTER(_xlpm.orari,_xlfn.BYROW(_xlpm.nomi,_xlfn.LAMBDA(_xlpm.r,COUNTIF(_xlpm.r,_xlpm.nome)&gt;0)) )))),""))</f>
        <v>0.39097222222222222</v>
      </c>
      <c r="M12" s="83">
        <v>0.40694444444444444</v>
      </c>
      <c r="N12" s="83">
        <v>0.48680555555555555</v>
      </c>
      <c r="O12" s="83">
        <v>0.51875000000000004</v>
      </c>
      <c r="P12" s="83">
        <v>0.64652777777777803</v>
      </c>
      <c r="Q12" s="83">
        <v>0.66250000000000053</v>
      </c>
      <c r="R12" s="83">
        <v>0.71041666666666736</v>
      </c>
      <c r="S12" s="83"/>
      <c r="T12" s="83"/>
      <c r="U12" s="75"/>
      <c r="V12" s="75"/>
      <c r="W12" s="75"/>
    </row>
    <row r="13" spans="2:23">
      <c r="B13" t="str">
        <v>Carlo</v>
      </c>
      <c r="C13" s="88">
        <f>COUNTIF(Global!J$5:U$96,B13)</f>
        <v>7</v>
      </c>
      <c r="J13" s="87" t="b">
        <f t="shared" si="1"/>
        <v>0</v>
      </c>
      <c r="K13" t="str">
        <v>Daniele</v>
      </c>
      <c r="L13" s="83" cm="1">
        <f t="array" ref="L13:P13">_xlfn.LET(_xlpm.nome,K13,_xlpm.orari,Global!$G$5:$G$96,_xlpm.nomi,Global!$J$5:$U$96,IFERROR(_xlfn.TOROW(_xlfn._xlws.SORT(_xlfn.UNIQUE(_xlfn._xlws.FILTER(_xlpm.orari,_xlfn.BYROW(_xlpm.nomi,_xlfn.LAMBDA(_xlpm.r,COUNTIF(_xlpm.r,_xlpm.nome)&gt;0)) )))),""))</f>
        <v>0.40694444444444444</v>
      </c>
      <c r="M13" s="83">
        <v>0.42291666666666666</v>
      </c>
      <c r="N13" s="83">
        <v>0.4548611111111111</v>
      </c>
      <c r="O13" s="83">
        <v>0.48680555555555555</v>
      </c>
      <c r="P13" s="83">
        <v>0.56666666666666687</v>
      </c>
      <c r="Q13" s="83"/>
      <c r="R13" s="83"/>
      <c r="S13" s="83"/>
      <c r="T13" s="83"/>
      <c r="U13" s="75"/>
      <c r="V13" s="75"/>
      <c r="W13" s="75"/>
    </row>
    <row r="14" spans="2:23">
      <c r="B14" t="str">
        <v>Caroline Pothet</v>
      </c>
      <c r="C14" s="88">
        <f>COUNTIF(Global!J$5:U$96,B14)</f>
        <v>6</v>
      </c>
      <c r="J14" s="87" t="b">
        <f t="shared" si="1"/>
        <v>0</v>
      </c>
      <c r="K14" t="str">
        <v>Ciprian Istudor</v>
      </c>
      <c r="L14" s="83" cm="1">
        <f t="array" ref="L14:P14">_xlfn.LET(_xlpm.nome,K14,_xlpm.orari,Global!$G$5:$G$96,_xlpm.nomi,Global!$J$5:$U$96,IFERROR(_xlfn.TOROW(_xlfn._xlws.SORT(_xlfn.UNIQUE(_xlfn._xlws.FILTER(_xlpm.orari,_xlfn.BYROW(_xlpm.nomi,_xlfn.LAMBDA(_xlpm.r,COUNTIF(_xlpm.r,_xlpm.nome)&gt;0)) )))),""))</f>
        <v>0.39097222222222222</v>
      </c>
      <c r="M14" s="83">
        <v>0.40694444444444444</v>
      </c>
      <c r="N14" s="83">
        <v>0.4548611111111111</v>
      </c>
      <c r="O14" s="83">
        <v>0.51875000000000004</v>
      </c>
      <c r="P14" s="83">
        <v>0.56666666666666687</v>
      </c>
      <c r="Q14" s="83"/>
      <c r="R14" s="83"/>
      <c r="S14" s="83"/>
      <c r="T14" s="83"/>
      <c r="U14" s="75"/>
      <c r="V14" s="75"/>
      <c r="W14" s="75"/>
    </row>
    <row r="15" spans="2:23">
      <c r="B15" t="str">
        <v>Ciprian Istudor</v>
      </c>
      <c r="C15" s="88">
        <f>COUNTIF(Global!J$5:U$96,B15)</f>
        <v>5</v>
      </c>
      <c r="J15" s="87" t="b">
        <f t="shared" si="1"/>
        <v>0</v>
      </c>
      <c r="K15" t="str">
        <v>Marchesini Matteo</v>
      </c>
      <c r="L15" s="83" cm="1">
        <f t="array" ref="L15:R15">_xlfn.LET(_xlpm.nome,K15,_xlpm.orari,Global!$G$5:$G$96,_xlpm.nomi,Global!$J$5:$U$96,IFERROR(_xlfn.TOROW(_xlfn._xlws.SORT(_xlfn.UNIQUE(_xlfn._xlws.FILTER(_xlpm.orari,_xlfn.BYROW(_xlpm.nomi,_xlfn.LAMBDA(_xlpm.r,COUNTIF(_xlpm.r,_xlpm.nome)&gt;0)) )))),""))</f>
        <v>0.375</v>
      </c>
      <c r="M15" s="83">
        <v>0.39097222222222222</v>
      </c>
      <c r="N15" s="83">
        <v>0.47083333333333333</v>
      </c>
      <c r="O15" s="83">
        <v>0.53472222222222232</v>
      </c>
      <c r="P15" s="83">
        <v>0.61458333333333359</v>
      </c>
      <c r="Q15" s="83">
        <v>0.67847222222222281</v>
      </c>
      <c r="R15" s="83">
        <v>0.71041666666666714</v>
      </c>
      <c r="S15" s="83"/>
      <c r="T15" s="83"/>
      <c r="U15" s="75"/>
      <c r="V15" s="75"/>
      <c r="W15" s="75"/>
    </row>
    <row r="16" spans="2:23">
      <c r="B16" t="str">
        <v>Claudia</v>
      </c>
      <c r="C16" s="88">
        <f>COUNTIF(Global!J$5:U$96,B16)</f>
        <v>7</v>
      </c>
      <c r="J16" s="87" t="b">
        <f t="shared" si="1"/>
        <v>0</v>
      </c>
      <c r="K16" t="str">
        <v>Mauro Gabbarini</v>
      </c>
      <c r="L16" s="83" cm="1">
        <f t="array" ref="L16:P16">_xlfn.LET(_xlpm.nome,K16,_xlpm.orari,Global!$G$5:$G$96,_xlpm.nomi,Global!$J$5:$U$96,IFERROR(_xlfn.TOROW(_xlfn._xlws.SORT(_xlfn.UNIQUE(_xlfn._xlws.FILTER(_xlpm.orari,_xlfn.BYROW(_xlpm.nomi,_xlfn.LAMBDA(_xlpm.r,COUNTIF(_xlpm.r,_xlpm.nome)&gt;0)) )))),""))</f>
        <v>0.40694444444444444</v>
      </c>
      <c r="M16" s="83">
        <v>0.42291666666666666</v>
      </c>
      <c r="N16" s="83">
        <v>0.48680555555555555</v>
      </c>
      <c r="O16" s="83">
        <v>0.51875000000000004</v>
      </c>
      <c r="P16" s="83">
        <v>0.58263888888888915</v>
      </c>
      <c r="Q16" s="83"/>
      <c r="R16" s="83"/>
      <c r="S16" s="83"/>
      <c r="T16" s="83"/>
      <c r="U16" s="75"/>
      <c r="V16" s="75"/>
      <c r="W16" s="75"/>
    </row>
    <row r="17" spans="2:31">
      <c r="B17" t="str">
        <v>Claudiu Chirias</v>
      </c>
      <c r="C17" s="88">
        <f>COUNTIF(Global!J$5:U$96,B17)</f>
        <v>2</v>
      </c>
      <c r="J17" s="87" t="b">
        <f t="shared" si="1"/>
        <v>0</v>
      </c>
      <c r="K17" t="str">
        <v>Filipe Paisana</v>
      </c>
      <c r="L17" s="83" cm="1">
        <f t="array" ref="L17:O17">_xlfn.LET(_xlpm.nome,K17,_xlpm.orari,Global!$G$5:$G$96,_xlpm.nomi,Global!$J$5:$U$96,IFERROR(_xlfn.TOROW(_xlfn._xlws.SORT(_xlfn.UNIQUE(_xlfn._xlws.FILTER(_xlpm.orari,_xlfn.BYROW(_xlpm.nomi,_xlfn.LAMBDA(_xlpm.r,COUNTIF(_xlpm.r,_xlpm.nome)&gt;0)) )))),""))</f>
        <v>0.375</v>
      </c>
      <c r="M17" s="83">
        <v>0.40694444444444444</v>
      </c>
      <c r="N17" s="83">
        <v>0.47083333333333333</v>
      </c>
      <c r="O17" s="83">
        <v>0.50277777777777777</v>
      </c>
      <c r="P17" s="83"/>
      <c r="Q17" s="83"/>
      <c r="R17" s="83"/>
      <c r="S17" s="83"/>
      <c r="T17" s="83"/>
      <c r="U17" s="75"/>
      <c r="V17" s="75"/>
      <c r="W17" s="75"/>
    </row>
    <row r="18" spans="2:31">
      <c r="B18" t="str">
        <v>Conti Lucia</v>
      </c>
      <c r="C18" s="88">
        <f>COUNTIF(Global!J$5:U$96,B18)</f>
        <v>8</v>
      </c>
      <c r="J18" s="87" t="b">
        <f t="shared" si="1"/>
        <v>0</v>
      </c>
      <c r="K18" t="str">
        <v>Fabio</v>
      </c>
      <c r="L18" s="83" cm="1">
        <f t="array" ref="L18:R18">_xlfn.LET(_xlpm.nome,K18,_xlpm.orari,Global!$G$5:$G$96,_xlpm.nomi,Global!$J$5:$U$96,IFERROR(_xlfn.TOROW(_xlfn._xlws.SORT(_xlfn.UNIQUE(_xlfn._xlws.FILTER(_xlpm.orari,_xlfn.BYROW(_xlpm.nomi,_xlfn.LAMBDA(_xlpm.r,COUNTIF(_xlpm.r,_xlpm.nome)&gt;0)) )))),""))</f>
        <v>0.40694444444444444</v>
      </c>
      <c r="M18" s="83">
        <v>0.42291666666666666</v>
      </c>
      <c r="N18" s="83">
        <v>0.47083333333333333</v>
      </c>
      <c r="O18" s="83">
        <v>0.50277777777777777</v>
      </c>
      <c r="P18" s="83">
        <v>0.63055555555555598</v>
      </c>
      <c r="Q18" s="83">
        <v>0.67847222222222281</v>
      </c>
      <c r="R18" s="83">
        <v>0.74236111111111192</v>
      </c>
      <c r="S18" s="83"/>
      <c r="T18" s="83"/>
      <c r="U18" s="75"/>
      <c r="V18" s="75"/>
      <c r="W18" s="75"/>
    </row>
    <row r="19" spans="2:31">
      <c r="B19" t="str">
        <v>CORRADO ALESSANDRO</v>
      </c>
      <c r="C19" s="88">
        <f>COUNTIF(Global!J$5:U$96,B19)</f>
        <v>5</v>
      </c>
      <c r="J19" s="87" t="b">
        <f t="shared" si="1"/>
        <v>0</v>
      </c>
      <c r="K19" t="str">
        <v>Ferri Alessandro</v>
      </c>
      <c r="L19" s="83" cm="1">
        <f t="array" ref="L19:S19">_xlfn.LET(_xlpm.nome,K19,_xlpm.orari,Global!$G$5:$G$96,_xlpm.nomi,Global!$J$5:$U$96,IFERROR(_xlfn.TOROW(_xlfn._xlws.SORT(_xlfn.UNIQUE(_xlfn._xlws.FILTER(_xlpm.orari,_xlfn.BYROW(_xlpm.nomi,_xlfn.LAMBDA(_xlpm.r,COUNTIF(_xlpm.r,_xlpm.nome)&gt;0)) )))),""))</f>
        <v>0.375</v>
      </c>
      <c r="M19" s="83">
        <v>0.39097222222222222</v>
      </c>
      <c r="N19" s="83">
        <v>0.48680555555555555</v>
      </c>
      <c r="O19" s="83">
        <v>0.51875000000000004</v>
      </c>
      <c r="P19" s="83">
        <v>0.58263888888888915</v>
      </c>
      <c r="Q19" s="83">
        <v>0.6145833333333337</v>
      </c>
      <c r="R19" s="83">
        <v>0.69444444444444486</v>
      </c>
      <c r="S19" s="83">
        <v>0.71041666666666736</v>
      </c>
      <c r="T19" s="83"/>
      <c r="U19" s="75"/>
      <c r="V19" s="75"/>
      <c r="W19" s="75"/>
    </row>
    <row r="20" spans="2:31">
      <c r="B20" t="str">
        <v>CSENKE JUDIT</v>
      </c>
      <c r="C20" s="88">
        <f>COUNTIF(Global!J$5:U$96,B20)</f>
        <v>6</v>
      </c>
      <c r="J20" s="87" t="b">
        <f t="shared" si="1"/>
        <v>0</v>
      </c>
      <c r="K20" t="str">
        <v>Mateusz Rudzik</v>
      </c>
      <c r="L20" s="83" cm="1">
        <f t="array" ref="L20:P20">_xlfn.LET(_xlpm.nome,K20,_xlpm.orari,Global!$G$5:$G$96,_xlpm.nomi,Global!$J$5:$U$96,IFERROR(_xlfn.TOROW(_xlfn._xlws.SORT(_xlfn.UNIQUE(_xlfn._xlws.FILTER(_xlpm.orari,_xlfn.BYROW(_xlpm.nomi,_xlfn.LAMBDA(_xlpm.r,COUNTIF(_xlpm.r,_xlpm.nome)&gt;0)) )))),""))</f>
        <v>0.375</v>
      </c>
      <c r="M20" s="83">
        <v>0.40694444444444444</v>
      </c>
      <c r="N20" s="83">
        <v>0.4548611111111111</v>
      </c>
      <c r="O20" s="83">
        <v>0.5506944444444446</v>
      </c>
      <c r="P20" s="83">
        <v>0.58263888888888915</v>
      </c>
      <c r="Q20" s="83"/>
      <c r="R20" s="83"/>
      <c r="S20" s="83"/>
      <c r="T20" s="83"/>
      <c r="U20" s="75"/>
      <c r="V20" s="75"/>
      <c r="W20" s="75"/>
    </row>
    <row r="21" spans="2:31">
      <c r="B21" t="str">
        <v>Damian Krzak</v>
      </c>
      <c r="C21" s="88">
        <f>COUNTIF(Global!J$5:U$96,B21)</f>
        <v>2</v>
      </c>
      <c r="J21" s="87" t="b">
        <f t="shared" si="1"/>
        <v>0</v>
      </c>
      <c r="K21" t="str">
        <v>Oliver Bosnar</v>
      </c>
      <c r="L21" s="83" cm="1">
        <f t="array" ref="L21:S21">_xlfn.LET(_xlpm.nome,K21,_xlpm.orari,Global!$G$5:$G$96,_xlpm.nomi,Global!$J$5:$U$96,IFERROR(_xlfn.TOROW(_xlfn._xlws.SORT(_xlfn.UNIQUE(_xlfn._xlws.FILTER(_xlpm.orari,_xlfn.BYROW(_xlpm.nomi,_xlfn.LAMBDA(_xlpm.r,COUNTIF(_xlpm.r,_xlpm.nome)&gt;0)) )))),""))</f>
        <v>0.375</v>
      </c>
      <c r="M21" s="83">
        <v>0.40694444444444444</v>
      </c>
      <c r="N21" s="83">
        <v>0.4548611111111111</v>
      </c>
      <c r="O21" s="83">
        <v>0.5506944444444446</v>
      </c>
      <c r="P21" s="83">
        <v>0.58263888888888915</v>
      </c>
      <c r="Q21" s="83">
        <v>0.6145833333333337</v>
      </c>
      <c r="R21" s="83">
        <v>0.66250000000000053</v>
      </c>
      <c r="S21" s="83">
        <v>0.75833333333333419</v>
      </c>
      <c r="T21" s="83"/>
      <c r="U21" s="75"/>
      <c r="V21" s="75"/>
      <c r="W21" s="75"/>
    </row>
    <row r="22" spans="2:31">
      <c r="B22" t="str">
        <v>Daniela</v>
      </c>
      <c r="C22" s="88">
        <f>COUNTIF(Global!J$5:U$96,B22)</f>
        <v>5</v>
      </c>
      <c r="J22" s="87" t="b">
        <f t="shared" si="1"/>
        <v>0</v>
      </c>
      <c r="K22" t="str">
        <v>Natalia Alberska</v>
      </c>
      <c r="L22" s="83" cm="1">
        <f t="array" ref="L22:S22">_xlfn.LET(_xlpm.nome,K22,_xlpm.orari,Global!$G$5:$G$96,_xlpm.nomi,Global!$J$5:$U$96,IFERROR(_xlfn.TOROW(_xlfn._xlws.SORT(_xlfn.UNIQUE(_xlfn._xlws.FILTER(_xlpm.orari,_xlfn.BYROW(_xlpm.nomi,_xlfn.LAMBDA(_xlpm.r,COUNTIF(_xlpm.r,_xlpm.nome)&gt;0)) )))),""))</f>
        <v>0.375</v>
      </c>
      <c r="M22" s="83">
        <v>0.40694444444444444</v>
      </c>
      <c r="N22" s="83">
        <v>0.4548611111111111</v>
      </c>
      <c r="O22" s="83">
        <v>0.50277777777777777</v>
      </c>
      <c r="P22" s="83">
        <v>0.5506944444444446</v>
      </c>
      <c r="Q22" s="83">
        <v>0.6145833333333337</v>
      </c>
      <c r="R22" s="83">
        <v>0.66250000000000053</v>
      </c>
      <c r="S22" s="83">
        <v>0.75833333333333419</v>
      </c>
      <c r="T22" s="83"/>
      <c r="U22" s="75"/>
      <c r="V22" s="75"/>
      <c r="W22" s="75"/>
    </row>
    <row r="23" spans="2:31">
      <c r="B23" t="str">
        <v>Daniele</v>
      </c>
      <c r="C23" s="88">
        <f>COUNTIF(Global!J$5:U$96,B23)</f>
        <v>5</v>
      </c>
      <c r="J23" s="87" t="b">
        <f t="shared" si="1"/>
        <v>0</v>
      </c>
      <c r="K23" t="str">
        <v>Evgenia Kalogeropoulou</v>
      </c>
      <c r="L23" s="83" cm="1">
        <f t="array" ref="L23:S23">_xlfn.LET(_xlpm.nome,K23,_xlpm.orari,Global!$G$5:$G$96,_xlpm.nomi,Global!$J$5:$U$96,IFERROR(_xlfn.TOROW(_xlfn._xlws.SORT(_xlfn.UNIQUE(_xlfn._xlws.FILTER(_xlpm.orari,_xlfn.BYROW(_xlpm.nomi,_xlfn.LAMBDA(_xlpm.r,COUNTIF(_xlpm.r,_xlpm.nome)&gt;0)) )))),""))</f>
        <v>0.375</v>
      </c>
      <c r="M23" s="83">
        <v>0.40694444444444444</v>
      </c>
      <c r="N23" s="83">
        <v>0.47083333333333333</v>
      </c>
      <c r="O23" s="83">
        <v>0.50277777777777777</v>
      </c>
      <c r="P23" s="83">
        <v>0.53472222222222232</v>
      </c>
      <c r="Q23" s="83">
        <v>0.61458333333333359</v>
      </c>
      <c r="R23" s="83">
        <v>0.66250000000000031</v>
      </c>
      <c r="S23" s="83">
        <v>0.74236111111111192</v>
      </c>
      <c r="T23" s="83"/>
      <c r="U23" s="75"/>
      <c r="V23" s="75"/>
      <c r="W23" s="75"/>
    </row>
    <row r="24" spans="2:31">
      <c r="B24" t="str">
        <v>Dariusz Neuhoff von der Ley</v>
      </c>
      <c r="C24" s="88">
        <f>COUNTIF(Global!J$5:U$96,B24)</f>
        <v>4</v>
      </c>
      <c r="J24" s="87" t="b">
        <f t="shared" si="1"/>
        <v>0</v>
      </c>
      <c r="K24" t="str">
        <v>Daniela</v>
      </c>
      <c r="L24" s="83" cm="1">
        <f t="array" ref="L24:P24">_xlfn.LET(_xlpm.nome,K24,_xlpm.orari,Global!$G$5:$G$96,_xlpm.nomi,Global!$J$5:$U$96,IFERROR(_xlfn.TOROW(_xlfn._xlws.SORT(_xlfn.UNIQUE(_xlfn._xlws.FILTER(_xlpm.orari,_xlfn.BYROW(_xlpm.nomi,_xlfn.LAMBDA(_xlpm.r,COUNTIF(_xlpm.r,_xlpm.nome)&gt;0)) )))),""))</f>
        <v>0.375</v>
      </c>
      <c r="M24" s="83">
        <v>0.39097222222222222</v>
      </c>
      <c r="N24" s="83">
        <v>0.47083333333333333</v>
      </c>
      <c r="O24" s="83">
        <v>0.50277777777777777</v>
      </c>
      <c r="P24" s="83">
        <v>0.5506944444444446</v>
      </c>
      <c r="Q24" s="83"/>
      <c r="R24" s="83"/>
      <c r="S24" s="83"/>
      <c r="T24" s="83"/>
      <c r="U24" s="75"/>
      <c r="V24" s="75"/>
      <c r="W24" s="75"/>
    </row>
    <row r="25" spans="2:31">
      <c r="B25" t="str">
        <v xml:space="preserve">Deniz Javier </v>
      </c>
      <c r="C25" s="88">
        <f>COUNTIF(Global!J$5:U$96,B25)</f>
        <v>2</v>
      </c>
      <c r="J25" s="87" t="b">
        <f t="shared" si="1"/>
        <v>0</v>
      </c>
      <c r="K25" t="str">
        <v>Conti Lucia</v>
      </c>
      <c r="L25" s="83" cm="1">
        <f t="array" ref="L25:S25">_xlfn.LET(_xlpm.nome,K25,_xlpm.orari,Global!$G$5:$G$96,_xlpm.nomi,Global!$J$5:$U$96,IFERROR(_xlfn.TOROW(_xlfn._xlws.SORT(_xlfn.UNIQUE(_xlfn._xlws.FILTER(_xlpm.orari,_xlfn.BYROW(_xlpm.nomi,_xlfn.LAMBDA(_xlpm.r,COUNTIF(_xlpm.r,_xlpm.nome)&gt;0)) )))),""))</f>
        <v>0.39097222222222222</v>
      </c>
      <c r="M25" s="83">
        <v>0.42291666666666666</v>
      </c>
      <c r="N25" s="83">
        <v>0.47083333333333333</v>
      </c>
      <c r="O25" s="83">
        <v>0.51875000000000004</v>
      </c>
      <c r="P25" s="83">
        <v>0.5506944444444446</v>
      </c>
      <c r="Q25" s="83">
        <v>0.59861111111111143</v>
      </c>
      <c r="R25" s="83">
        <v>0.67847222222222259</v>
      </c>
      <c r="S25" s="83">
        <v>0.69444444444444509</v>
      </c>
      <c r="T25" s="83"/>
      <c r="U25" s="75"/>
      <c r="V25" s="75"/>
      <c r="W25" s="75"/>
    </row>
    <row r="26" spans="2:31">
      <c r="B26" t="str">
        <v>Diana</v>
      </c>
      <c r="C26" s="88">
        <f>COUNTIF(Global!J$5:U$96,B26)</f>
        <v>2</v>
      </c>
      <c r="J26" s="87" t="b">
        <f t="shared" si="1"/>
        <v>0</v>
      </c>
      <c r="K26" t="str">
        <v>Claudia</v>
      </c>
      <c r="L26" s="83" cm="1">
        <f t="array" ref="L26:R26">_xlfn.LET(_xlpm.nome,K26,_xlpm.orari,Global!$G$5:$G$96,_xlpm.nomi,Global!$J$5:$U$96,IFERROR(_xlfn.TOROW(_xlfn._xlws.SORT(_xlfn.UNIQUE(_xlfn._xlws.FILTER(_xlpm.orari,_xlfn.BYROW(_xlpm.nomi,_xlfn.LAMBDA(_xlpm.r,COUNTIF(_xlpm.r,_xlpm.nome)&gt;0)) )))),""))</f>
        <v>0.375</v>
      </c>
      <c r="M26" s="83">
        <v>0.39097222222222222</v>
      </c>
      <c r="N26" s="83">
        <v>0.4548611111111111</v>
      </c>
      <c r="O26" s="83">
        <v>0.51875000000000004</v>
      </c>
      <c r="P26" s="83">
        <v>0.63055555555555598</v>
      </c>
      <c r="Q26" s="83">
        <v>0.66250000000000031</v>
      </c>
      <c r="R26" s="83">
        <v>0.71041666666666714</v>
      </c>
      <c r="S26" s="83"/>
      <c r="T26" s="83"/>
      <c r="U26" s="75"/>
      <c r="V26" s="75"/>
      <c r="W26" s="75"/>
    </row>
    <row r="27" spans="2:31">
      <c r="B27" t="str">
        <v>Elisa B.</v>
      </c>
      <c r="C27" s="88">
        <f>COUNTIF(Global!J$5:U$96,B27)</f>
        <v>8</v>
      </c>
      <c r="J27" s="87" t="b">
        <f t="shared" si="1"/>
        <v>0</v>
      </c>
      <c r="K27" t="str">
        <v>Federica Foti</v>
      </c>
      <c r="L27" s="83" cm="1">
        <f t="array" ref="L27:P27">_xlfn.LET(_xlpm.nome,K27,_xlpm.orari,Global!$G$5:$G$96,_xlpm.nomi,Global!$J$5:$U$96,IFERROR(_xlfn.TOROW(_xlfn._xlws.SORT(_xlfn.UNIQUE(_xlfn._xlws.FILTER(_xlpm.orari,_xlfn.BYROW(_xlpm.nomi,_xlfn.LAMBDA(_xlpm.r,COUNTIF(_xlpm.r,_xlpm.nome)&gt;0)) )))),""))</f>
        <v>0.375</v>
      </c>
      <c r="M27" s="83">
        <v>0.42291666666666666</v>
      </c>
      <c r="N27" s="83">
        <v>0.59861111111111143</v>
      </c>
      <c r="O27" s="83">
        <v>0.64652777777777826</v>
      </c>
      <c r="P27" s="83">
        <v>0.72638888888888964</v>
      </c>
      <c r="Q27" s="83"/>
      <c r="R27" s="83"/>
      <c r="S27" s="83"/>
      <c r="T27" s="83"/>
      <c r="U27" s="75"/>
      <c r="V27" s="75"/>
      <c r="W27" s="75"/>
    </row>
    <row r="28" spans="2:31">
      <c r="B28" t="str">
        <v>Evangelos Kotzagiorgis</v>
      </c>
      <c r="C28" s="88">
        <f>COUNTIF(Global!J$5:U$96,B28)</f>
        <v>8</v>
      </c>
      <c r="J28" s="87" t="b">
        <f t="shared" si="1"/>
        <v>0</v>
      </c>
      <c r="K28" t="str">
        <v>Michal Narojek</v>
      </c>
      <c r="L28" s="83" cm="1">
        <f t="array" ref="L28:Q28">_xlfn.LET(_xlpm.nome,K28,_xlpm.orari,Global!$G$5:$G$96,_xlpm.nomi,Global!$J$5:$U$96,IFERROR(_xlfn.TOROW(_xlfn._xlws.SORT(_xlfn.UNIQUE(_xlfn._xlws.FILTER(_xlpm.orari,_xlfn.BYROW(_xlpm.nomi,_xlfn.LAMBDA(_xlpm.r,COUNTIF(_xlpm.r,_xlpm.nome)&gt;0)) )))),""))</f>
        <v>0.4548611111111111</v>
      </c>
      <c r="M28" s="83">
        <v>0.5506944444444446</v>
      </c>
      <c r="N28" s="83">
        <v>0.58263888888888915</v>
      </c>
      <c r="O28" s="83">
        <v>0.61458333333333359</v>
      </c>
      <c r="P28" s="83">
        <v>0.66250000000000031</v>
      </c>
      <c r="Q28" s="83">
        <v>0.74236111111111192</v>
      </c>
      <c r="R28" s="83"/>
      <c r="S28" s="83"/>
      <c r="T28" s="83"/>
      <c r="U28" s="75"/>
      <c r="V28" s="75"/>
      <c r="W28" s="75"/>
    </row>
    <row r="29" spans="2:31">
      <c r="B29" t="str">
        <v>Evgenia Kalogeropoulou</v>
      </c>
      <c r="C29" s="88">
        <f>COUNTIF(Global!J$5:U$96,B29)</f>
        <v>8</v>
      </c>
      <c r="J29" s="87" t="b">
        <f t="shared" si="1"/>
        <v>0</v>
      </c>
      <c r="K29" t="str">
        <v>Georgios Dimitropoulos</v>
      </c>
      <c r="L29" s="83" cm="1">
        <f t="array" ref="L29:R29">_xlfn.LET(_xlpm.nome,K29,_xlpm.orari,Global!$G$5:$G$96,_xlpm.nomi,Global!$J$5:$U$96,IFERROR(_xlfn.TOROW(_xlfn._xlws.SORT(_xlfn.UNIQUE(_xlfn._xlws.FILTER(_xlpm.orari,_xlfn.BYROW(_xlpm.nomi,_xlfn.LAMBDA(_xlpm.r,COUNTIF(_xlpm.r,_xlpm.nome)&gt;0)) )))),""))</f>
        <v>0.375</v>
      </c>
      <c r="M29" s="83">
        <v>0.40694444444444444</v>
      </c>
      <c r="N29" s="83">
        <v>0.47083333333333333</v>
      </c>
      <c r="O29" s="83">
        <v>0.50277777777777777</v>
      </c>
      <c r="P29" s="83">
        <v>0.61458333333333359</v>
      </c>
      <c r="Q29" s="83">
        <v>0.66250000000000031</v>
      </c>
      <c r="R29" s="83">
        <v>0.74236111111111192</v>
      </c>
      <c r="S29" s="83"/>
      <c r="T29" s="83"/>
      <c r="U29" s="75"/>
      <c r="V29" s="75"/>
      <c r="W29" s="75"/>
    </row>
    <row r="30" spans="2:31">
      <c r="B30" t="str">
        <v>Fabio</v>
      </c>
      <c r="C30" s="88">
        <f>COUNTIF(Global!J$5:U$96,B30)</f>
        <v>7</v>
      </c>
      <c r="J30" s="87" t="b">
        <f t="shared" si="1"/>
        <v>0</v>
      </c>
      <c r="K30" t="str">
        <v>Caroline Pothet</v>
      </c>
      <c r="L30" s="83" cm="1">
        <f t="array" ref="L30:Q30">_xlfn.LET(_xlpm.nome,K30,_xlpm.orari,Global!$G$5:$G$96,_xlpm.nomi,Global!$J$5:$U$96,IFERROR(_xlfn.TOROW(_xlfn._xlws.SORT(_xlfn.UNIQUE(_xlfn._xlws.FILTER(_xlpm.orari,_xlfn.BYROW(_xlpm.nomi,_xlfn.LAMBDA(_xlpm.r,COUNTIF(_xlpm.r,_xlpm.nome)&gt;0)) )))),""))</f>
        <v>0.375</v>
      </c>
      <c r="M30" s="83">
        <v>0.39097222222222222</v>
      </c>
      <c r="N30" s="83">
        <v>0.63055555555555576</v>
      </c>
      <c r="O30" s="83">
        <v>0.67847222222222259</v>
      </c>
      <c r="P30" s="83">
        <v>0.72638888888888964</v>
      </c>
      <c r="Q30" s="83">
        <v>0.77430555555555647</v>
      </c>
      <c r="R30" s="83"/>
      <c r="S30" s="83"/>
      <c r="T30" s="83"/>
      <c r="U30" s="75"/>
      <c r="V30" s="75"/>
      <c r="W30" s="75"/>
      <c r="X30" s="86"/>
      <c r="Y30" s="86"/>
      <c r="Z30" s="86"/>
      <c r="AA30" s="86"/>
      <c r="AB30" s="86"/>
      <c r="AC30" s="86"/>
      <c r="AD30" s="86"/>
      <c r="AE30" s="86"/>
    </row>
    <row r="31" spans="2:31">
      <c r="B31" t="str">
        <v>Federica C.</v>
      </c>
      <c r="C31" s="88">
        <f>COUNTIF(Global!J$5:U$96,B31)</f>
        <v>5</v>
      </c>
      <c r="J31" s="87" t="b">
        <f t="shared" si="1"/>
        <v>0</v>
      </c>
      <c r="K31" t="str">
        <v>Vasileios</v>
      </c>
      <c r="L31" s="83" cm="1">
        <f t="array" ref="L31:S31">_xlfn.LET(_xlpm.nome,K31,_xlpm.orari,Global!$G$5:$G$96,_xlpm.nomi,Global!$J$5:$U$96,IFERROR(_xlfn.TOROW(_xlfn._xlws.SORT(_xlfn.UNIQUE(_xlfn._xlws.FILTER(_xlpm.orari,_xlfn.BYROW(_xlpm.nomi,_xlfn.LAMBDA(_xlpm.r,COUNTIF(_xlpm.r,_xlpm.nome)&gt;0)) )))),""))</f>
        <v>0.375</v>
      </c>
      <c r="M31" s="83">
        <v>0.39097222222222222</v>
      </c>
      <c r="N31" s="83">
        <v>0.51875000000000004</v>
      </c>
      <c r="O31" s="83">
        <v>0.5506944444444446</v>
      </c>
      <c r="P31" s="83">
        <v>0.56666666666666687</v>
      </c>
      <c r="Q31" s="83">
        <v>0.63055555555555598</v>
      </c>
      <c r="R31" s="83">
        <v>0.66250000000000031</v>
      </c>
      <c r="S31" s="83">
        <v>0.71041666666666714</v>
      </c>
      <c r="T31" s="83"/>
      <c r="U31" s="75"/>
      <c r="V31" s="75"/>
      <c r="W31" s="75"/>
    </row>
    <row r="32" spans="2:31">
      <c r="B32" t="str">
        <v>Federica Ferrari</v>
      </c>
      <c r="C32" s="88">
        <f>COUNTIF(Global!J$5:U$96,B32)</f>
        <v>4</v>
      </c>
      <c r="J32" s="87" t="b">
        <f t="shared" si="1"/>
        <v>0</v>
      </c>
      <c r="K32" t="str">
        <v>Wade</v>
      </c>
      <c r="L32" s="83" cm="1">
        <f t="array" ref="L32:S32">_xlfn.LET(_xlpm.nome,K32,_xlpm.orari,Global!$G$5:$G$96,_xlpm.nomi,Global!$J$5:$U$96,IFERROR(_xlfn.TOROW(_xlfn._xlws.SORT(_xlfn.UNIQUE(_xlfn._xlws.FILTER(_xlpm.orari,_xlfn.BYROW(_xlpm.nomi,_xlfn.LAMBDA(_xlpm.r,COUNTIF(_xlpm.r,_xlpm.nome)&gt;0)) )))),""))</f>
        <v>0.375</v>
      </c>
      <c r="M32" s="83">
        <v>0.40694444444444444</v>
      </c>
      <c r="N32" s="83">
        <v>0.51875000000000004</v>
      </c>
      <c r="O32" s="83">
        <v>0.5506944444444446</v>
      </c>
      <c r="P32" s="83">
        <v>0.56666666666666687</v>
      </c>
      <c r="Q32" s="83">
        <v>0.63055555555555598</v>
      </c>
      <c r="R32" s="83">
        <v>0.66250000000000031</v>
      </c>
      <c r="S32" s="83">
        <v>0.71041666666666714</v>
      </c>
      <c r="T32" s="83"/>
      <c r="U32" s="75"/>
      <c r="V32" s="75"/>
      <c r="W32" s="75"/>
    </row>
    <row r="33" spans="2:23">
      <c r="B33" t="str">
        <v>Federica Ferretti</v>
      </c>
      <c r="C33" s="88">
        <f>COUNTIF(Global!J$5:U$96,B33)</f>
        <v>2</v>
      </c>
      <c r="J33" s="87" t="b">
        <f t="shared" si="1"/>
        <v>0</v>
      </c>
      <c r="K33" t="str">
        <v>Scioni Barbara</v>
      </c>
      <c r="L33" s="83" cm="1">
        <f t="array" ref="L33:P33">_xlfn.LET(_xlpm.nome,K33,_xlpm.orari,Global!$G$5:$G$96,_xlpm.nomi,Global!$J$5:$U$96,IFERROR(_xlfn.TOROW(_xlfn._xlws.SORT(_xlfn.UNIQUE(_xlfn._xlws.FILTER(_xlpm.orari,_xlfn.BYROW(_xlpm.nomi,_xlfn.LAMBDA(_xlpm.r,COUNTIF(_xlpm.r,_xlpm.nome)&gt;0)) )))),""))</f>
        <v>0.39097222222222222</v>
      </c>
      <c r="M33" s="83">
        <v>0.40694444444444444</v>
      </c>
      <c r="N33" s="83">
        <v>0.64652777777777803</v>
      </c>
      <c r="O33" s="83">
        <v>0.66250000000000053</v>
      </c>
      <c r="P33" s="83">
        <v>0.71041666666666736</v>
      </c>
      <c r="Q33" s="83"/>
      <c r="R33" s="83"/>
      <c r="S33" s="83"/>
      <c r="T33" s="83"/>
      <c r="U33" s="75"/>
      <c r="V33" s="75"/>
      <c r="W33" s="75"/>
    </row>
    <row r="34" spans="2:23">
      <c r="B34" t="str">
        <v>Federica Foti</v>
      </c>
      <c r="C34" s="88">
        <f>COUNTIF(Global!J$5:U$96,B34)</f>
        <v>5</v>
      </c>
      <c r="J34" s="87" t="b">
        <f t="shared" si="1"/>
        <v>0</v>
      </c>
      <c r="K34" t="str">
        <v xml:space="preserve">Bonato Stefano </v>
      </c>
      <c r="L34" s="83" cm="1">
        <f t="array" ref="L34:R34">_xlfn.LET(_xlpm.nome,K34,_xlpm.orari,Global!$G$5:$G$96,_xlpm.nomi,Global!$J$5:$U$96,IFERROR(_xlfn.TOROW(_xlfn._xlws.SORT(_xlfn.UNIQUE(_xlfn._xlws.FILTER(_xlpm.orari,_xlfn.BYROW(_xlpm.nomi,_xlfn.LAMBDA(_xlpm.r,COUNTIF(_xlpm.r,_xlpm.nome)&gt;0)) )))),""))</f>
        <v>0.39097222222222222</v>
      </c>
      <c r="M34" s="83">
        <v>0.42291666666666666</v>
      </c>
      <c r="N34" s="83">
        <v>0.47083333333333333</v>
      </c>
      <c r="O34" s="83">
        <v>0.53472222222222232</v>
      </c>
      <c r="P34" s="83">
        <v>0.59861111111111143</v>
      </c>
      <c r="Q34" s="83">
        <v>0.67847222222222259</v>
      </c>
      <c r="R34" s="83">
        <v>0.69444444444444509</v>
      </c>
      <c r="S34" s="83"/>
      <c r="T34" s="83"/>
      <c r="U34" s="75"/>
      <c r="V34" s="75"/>
      <c r="W34" s="75"/>
    </row>
    <row r="35" spans="2:23">
      <c r="B35" t="str">
        <v>Federica R.</v>
      </c>
      <c r="C35" s="88">
        <f>COUNTIF(Global!J$5:U$96,B35)</f>
        <v>5</v>
      </c>
      <c r="J35" s="87" t="b">
        <f t="shared" si="1"/>
        <v>0</v>
      </c>
      <c r="K35" t="str">
        <v>Rausch Laura</v>
      </c>
      <c r="L35" s="83" cm="1">
        <f t="array" ref="L35:R35">_xlfn.LET(_xlpm.nome,K35,_xlpm.orari,Global!$G$5:$G$96,_xlpm.nomi,Global!$J$5:$U$96,IFERROR(_xlfn.TOROW(_xlfn._xlws.SORT(_xlfn.UNIQUE(_xlfn._xlws.FILTER(_xlpm.orari,_xlfn.BYROW(_xlpm.nomi,_xlfn.LAMBDA(_xlpm.r,COUNTIF(_xlpm.r,_xlpm.nome)&gt;0)) )))),""))</f>
        <v>0.39097222222222222</v>
      </c>
      <c r="M35" s="83">
        <v>0.42291666666666666</v>
      </c>
      <c r="N35" s="83">
        <v>0.48680555555555555</v>
      </c>
      <c r="O35" s="83">
        <v>0.51875000000000004</v>
      </c>
      <c r="P35" s="83">
        <v>0.61458333333333359</v>
      </c>
      <c r="Q35" s="83">
        <v>0.67847222222222281</v>
      </c>
      <c r="R35" s="83">
        <v>0.71041666666666714</v>
      </c>
      <c r="S35" s="83"/>
      <c r="T35" s="83"/>
      <c r="U35" s="75"/>
      <c r="V35" s="75"/>
      <c r="W35" s="75"/>
    </row>
    <row r="36" spans="2:23">
      <c r="B36" t="str">
        <v>Ferri Alessandro</v>
      </c>
      <c r="C36" s="88">
        <f>COUNTIF(Global!J$5:U$96,B36)</f>
        <v>8</v>
      </c>
      <c r="J36" s="87" t="b">
        <f t="shared" si="1"/>
        <v>0</v>
      </c>
      <c r="K36" t="str">
        <v>Marchese Emanuela</v>
      </c>
      <c r="L36" s="83" cm="1">
        <f t="array" ref="L36:P36">_xlfn.LET(_xlpm.nome,K36,_xlpm.orari,Global!$G$5:$G$96,_xlpm.nomi,Global!$J$5:$U$96,IFERROR(_xlfn.TOROW(_xlfn._xlws.SORT(_xlfn.UNIQUE(_xlfn._xlws.FILTER(_xlpm.orari,_xlfn.BYROW(_xlpm.nomi,_xlfn.LAMBDA(_xlpm.r,COUNTIF(_xlpm.r,_xlpm.nome)&gt;0)) )))),""))</f>
        <v>0.375</v>
      </c>
      <c r="M36" s="83">
        <v>0.39097222222222222</v>
      </c>
      <c r="N36" s="83">
        <v>0.61458333333333359</v>
      </c>
      <c r="O36" s="83">
        <v>0.67847222222222281</v>
      </c>
      <c r="P36" s="83">
        <v>0.71041666666666714</v>
      </c>
      <c r="Q36" s="83"/>
      <c r="R36" s="83"/>
      <c r="S36" s="83"/>
      <c r="T36" s="83"/>
      <c r="U36" s="75"/>
      <c r="V36" s="75"/>
      <c r="W36" s="75"/>
    </row>
    <row r="37" spans="2:23">
      <c r="B37" t="str">
        <v>Filipe Paisana</v>
      </c>
      <c r="C37" s="88">
        <f>COUNTIF(Global!J$5:U$96,B37)</f>
        <v>4</v>
      </c>
      <c r="J37" s="87" t="b">
        <f t="shared" si="1"/>
        <v>0</v>
      </c>
      <c r="K37" t="str">
        <v>Pecoraro Simona</v>
      </c>
      <c r="L37" s="83" cm="1">
        <f t="array" ref="L37:S37">_xlfn.LET(_xlpm.nome,K37,_xlpm.orari,Global!$G$5:$G$96,_xlpm.nomi,Global!$J$5:$U$96,IFERROR(_xlfn.TOROW(_xlfn._xlws.SORT(_xlfn.UNIQUE(_xlfn._xlws.FILTER(_xlpm.orari,_xlfn.BYROW(_xlpm.nomi,_xlfn.LAMBDA(_xlpm.r,COUNTIF(_xlpm.r,_xlpm.nome)&gt;0)) )))),""))</f>
        <v>0.375</v>
      </c>
      <c r="M37" s="83">
        <v>0.39097222222222222</v>
      </c>
      <c r="N37" s="83">
        <v>0.4548611111111111</v>
      </c>
      <c r="O37" s="83">
        <v>0.53472222222222232</v>
      </c>
      <c r="P37" s="83">
        <v>0.56666666666666687</v>
      </c>
      <c r="Q37" s="83">
        <v>0.6145833333333337</v>
      </c>
      <c r="R37" s="83">
        <v>0.69444444444444486</v>
      </c>
      <c r="S37" s="83">
        <v>0.71041666666666736</v>
      </c>
      <c r="T37" s="83"/>
      <c r="U37" s="75"/>
      <c r="V37" s="75"/>
      <c r="W37" s="75"/>
    </row>
    <row r="38" spans="2:23">
      <c r="B38" t="str">
        <v>Filothei</v>
      </c>
      <c r="C38" s="88">
        <f>COUNTIF(Global!J$5:U$96,B38)</f>
        <v>5</v>
      </c>
      <c r="J38" s="87" t="b">
        <f t="shared" si="1"/>
        <v>0</v>
      </c>
      <c r="K38" t="str">
        <v>Boba</v>
      </c>
      <c r="L38" s="83" cm="1">
        <f t="array" ref="L38:R38">_xlfn.LET(_xlpm.nome,K38,_xlpm.orari,Global!$G$5:$G$96,_xlpm.nomi,Global!$J$5:$U$96,IFERROR(_xlfn.TOROW(_xlfn._xlws.SORT(_xlfn.UNIQUE(_xlfn._xlws.FILTER(_xlpm.orari,_xlfn.BYROW(_xlpm.nomi,_xlfn.LAMBDA(_xlpm.r,COUNTIF(_xlpm.r,_xlpm.nome)&gt;0)) )))),""))</f>
        <v>0.47083333333333333</v>
      </c>
      <c r="M38" s="83">
        <v>0.51875000000000004</v>
      </c>
      <c r="N38" s="83">
        <v>0.53472222222222232</v>
      </c>
      <c r="O38" s="83">
        <v>0.63055555555555576</v>
      </c>
      <c r="P38" s="83">
        <v>0.69444444444444509</v>
      </c>
      <c r="Q38" s="83">
        <v>0.77430555555555647</v>
      </c>
      <c r="R38" s="83">
        <v>0.79027777777777874</v>
      </c>
      <c r="S38" s="83"/>
      <c r="T38" s="83"/>
      <c r="U38" s="75"/>
      <c r="V38" s="75"/>
      <c r="W38" s="75"/>
    </row>
    <row r="39" spans="2:23">
      <c r="B39" t="str">
        <v>Flavio</v>
      </c>
      <c r="C39" s="88">
        <f>COUNTIF(Global!J$5:U$96,B39)</f>
        <v>5</v>
      </c>
      <c r="J39" s="87" t="b">
        <f t="shared" si="1"/>
        <v>0</v>
      </c>
      <c r="K39" t="str">
        <v>BILLERAULT AURELIEN</v>
      </c>
      <c r="L39" s="83" cm="1">
        <f t="array" ref="L39:Q39">_xlfn.LET(_xlpm.nome,K39,_xlpm.orari,Global!$G$5:$G$96,_xlpm.nomi,Global!$J$5:$U$96,IFERROR(_xlfn.TOROW(_xlfn._xlws.SORT(_xlfn.UNIQUE(_xlfn._xlws.FILTER(_xlpm.orari,_xlfn.BYROW(_xlpm.nomi,_xlfn.LAMBDA(_xlpm.r,COUNTIF(_xlpm.r,_xlpm.nome)&gt;0)) )))),""))</f>
        <v>0.375</v>
      </c>
      <c r="M39" s="83">
        <v>0.42291666666666666</v>
      </c>
      <c r="N39" s="83">
        <v>0.59861111111111143</v>
      </c>
      <c r="O39" s="83">
        <v>0.64652777777777826</v>
      </c>
      <c r="P39" s="83">
        <v>0.72638888888888964</v>
      </c>
      <c r="Q39" s="83">
        <v>0.79027777777777874</v>
      </c>
      <c r="R39" s="83"/>
      <c r="S39" s="83"/>
      <c r="T39" s="83"/>
      <c r="U39" s="75"/>
      <c r="V39" s="75"/>
      <c r="W39" s="75"/>
    </row>
    <row r="40" spans="2:23">
      <c r="B40" t="str">
        <v>Frank Pétavy</v>
      </c>
      <c r="C40" s="88">
        <f>COUNTIF(Global!J$5:U$96,B40)</f>
        <v>8</v>
      </c>
      <c r="J40" s="87" t="b">
        <f t="shared" si="1"/>
        <v>0</v>
      </c>
      <c r="K40" t="str">
        <v>Federica Ferrari</v>
      </c>
      <c r="L40" s="83" cm="1">
        <f t="array" ref="L40:O40">_xlfn.LET(_xlpm.nome,K40,_xlpm.orari,Global!$G$5:$G$96,_xlpm.nomi,Global!$J$5:$U$96,IFERROR(_xlfn.TOROW(_xlfn._xlws.SORT(_xlfn.UNIQUE(_xlfn._xlws.FILTER(_xlpm.orari,_xlfn.BYROW(_xlpm.nomi,_xlfn.LAMBDA(_xlpm.r,COUNTIF(_xlpm.r,_xlpm.nome)&gt;0)) )))),""))</f>
        <v>0.375</v>
      </c>
      <c r="M40" s="83">
        <v>0.42291666666666666</v>
      </c>
      <c r="N40" s="83">
        <v>0.4548611111111111</v>
      </c>
      <c r="O40" s="83">
        <v>0.48680555555555555</v>
      </c>
      <c r="P40" s="83"/>
      <c r="Q40" s="83"/>
      <c r="R40" s="83"/>
      <c r="S40" s="83"/>
      <c r="T40" s="83"/>
      <c r="U40" s="75"/>
      <c r="V40" s="75"/>
      <c r="W40" s="75"/>
    </row>
    <row r="41" spans="2:23">
      <c r="B41" t="str">
        <v>Georgios Dimitropoulos</v>
      </c>
      <c r="C41" s="88">
        <f>COUNTIF(Global!J$5:U$96,B41)</f>
        <v>7</v>
      </c>
      <c r="J41" s="87" t="b">
        <f t="shared" si="1"/>
        <v>0</v>
      </c>
      <c r="K41" t="str">
        <v>Valentina Cordo</v>
      </c>
      <c r="L41" s="83" cm="1">
        <f t="array" ref="L41:P41">_xlfn.LET(_xlpm.nome,K41,_xlpm.orari,Global!$G$5:$G$96,_xlpm.nomi,Global!$J$5:$U$96,IFERROR(_xlfn.TOROW(_xlfn._xlws.SORT(_xlfn.UNIQUE(_xlfn._xlws.FILTER(_xlpm.orari,_xlfn.BYROW(_xlpm.nomi,_xlfn.LAMBDA(_xlpm.r,COUNTIF(_xlpm.r,_xlpm.nome)&gt;0)) )))),""))</f>
        <v>0.375</v>
      </c>
      <c r="M41" s="83">
        <v>0.39097222222222222</v>
      </c>
      <c r="N41" s="83">
        <v>0.64652777777777803</v>
      </c>
      <c r="O41" s="83">
        <v>0.69444444444444486</v>
      </c>
      <c r="P41" s="83">
        <v>0.75833333333333419</v>
      </c>
      <c r="Q41" s="83"/>
      <c r="R41" s="83"/>
      <c r="S41" s="83"/>
      <c r="T41" s="83"/>
      <c r="U41" s="75"/>
      <c r="V41" s="75"/>
      <c r="W41" s="75"/>
    </row>
    <row r="42" spans="2:23">
      <c r="B42" t="str">
        <v>GURRIERI ROSARIO</v>
      </c>
      <c r="C42" s="88">
        <f>COUNTIF(Global!J$5:U$96,B42)</f>
        <v>2</v>
      </c>
      <c r="J42" s="87" t="b">
        <f t="shared" si="1"/>
        <v>0</v>
      </c>
      <c r="K42" t="str">
        <v>Anna Isabel</v>
      </c>
      <c r="L42" s="83" cm="1">
        <f t="array" ref="L42:M42">_xlfn.LET(_xlpm.nome,K42,_xlpm.orari,Global!$G$5:$G$96,_xlpm.nomi,Global!$J$5:$U$96,IFERROR(_xlfn.TOROW(_xlfn._xlws.SORT(_xlfn.UNIQUE(_xlfn._xlws.FILTER(_xlpm.orari,_xlfn.BYROW(_xlpm.nomi,_xlfn.LAMBDA(_xlpm.r,COUNTIF(_xlpm.r,_xlpm.nome)&gt;0)) )))),""))</f>
        <v>0.375</v>
      </c>
      <c r="M42" s="83">
        <v>0.40694444444444444</v>
      </c>
      <c r="N42" s="83"/>
      <c r="O42" s="83"/>
      <c r="P42" s="83"/>
      <c r="Q42" s="83"/>
      <c r="R42" s="83"/>
      <c r="S42" s="83"/>
      <c r="T42" s="83"/>
      <c r="U42" s="75"/>
      <c r="V42" s="75"/>
      <c r="W42" s="75"/>
    </row>
    <row r="43" spans="2:23">
      <c r="B43" t="str">
        <v>Ilaria</v>
      </c>
      <c r="C43" s="88">
        <f>COUNTIF(Global!J$5:U$96,B43)</f>
        <v>8</v>
      </c>
      <c r="J43" s="87" t="b">
        <f t="shared" si="1"/>
        <v>0</v>
      </c>
      <c r="K43" t="str">
        <v>Serra Jose Manuel de Jesus</v>
      </c>
      <c r="L43" s="83" cm="1">
        <f t="array" ref="L43:P43">_xlfn.LET(_xlpm.nome,K43,_xlpm.orari,Global!$G$5:$G$96,_xlpm.nomi,Global!$J$5:$U$96,IFERROR(_xlfn.TOROW(_xlfn._xlws.SORT(_xlfn.UNIQUE(_xlfn._xlws.FILTER(_xlpm.orari,_xlfn.BYROW(_xlpm.nomi,_xlfn.LAMBDA(_xlpm.r,COUNTIF(_xlpm.r,_xlpm.nome)&gt;0)) )))),""))</f>
        <v>0.39097222222222222</v>
      </c>
      <c r="M43" s="83">
        <v>0.40694444444444444</v>
      </c>
      <c r="N43" s="83">
        <v>0.64652777777777803</v>
      </c>
      <c r="O43" s="83">
        <v>0.66250000000000053</v>
      </c>
      <c r="P43" s="83">
        <v>0.71041666666666736</v>
      </c>
      <c r="Q43" s="83"/>
      <c r="R43" s="83"/>
      <c r="S43" s="83"/>
      <c r="T43" s="83"/>
      <c r="U43" s="75"/>
      <c r="V43" s="75"/>
      <c r="W43" s="75"/>
    </row>
    <row r="44" spans="2:23">
      <c r="B44" t="str">
        <v>Ionut Sava</v>
      </c>
      <c r="C44" s="88">
        <f>COUNTIF(Global!J$5:U$96,B44)</f>
        <v>7</v>
      </c>
      <c r="J44" s="87" t="b">
        <f t="shared" si="1"/>
        <v>0</v>
      </c>
      <c r="K44" t="str">
        <v>Carlo</v>
      </c>
      <c r="L44" s="83" cm="1">
        <f t="array" ref="L44:R44">_xlfn.LET(_xlpm.nome,K44,_xlpm.orari,Global!$G$5:$G$96,_xlpm.nomi,Global!$J$5:$U$96,IFERROR(_xlfn.TOROW(_xlfn._xlws.SORT(_xlfn.UNIQUE(_xlfn._xlws.FILTER(_xlpm.orari,_xlfn.BYROW(_xlpm.nomi,_xlfn.LAMBDA(_xlpm.r,COUNTIF(_xlpm.r,_xlpm.nome)&gt;0)) )))),""))</f>
        <v>0.4548611111111111</v>
      </c>
      <c r="M44" s="83">
        <v>0.48680555555555555</v>
      </c>
      <c r="N44" s="83">
        <v>0.56666666666666687</v>
      </c>
      <c r="O44" s="83">
        <v>0.63055555555555576</v>
      </c>
      <c r="P44" s="83">
        <v>0.69444444444444509</v>
      </c>
      <c r="Q44" s="83">
        <v>0.77430555555555647</v>
      </c>
      <c r="R44" s="83">
        <v>0.79027777777777874</v>
      </c>
      <c r="S44" s="83"/>
      <c r="T44" s="83"/>
      <c r="U44" s="75"/>
      <c r="V44" s="75"/>
      <c r="W44" s="75"/>
    </row>
    <row r="45" spans="2:23">
      <c r="B45" t="str">
        <v>Jakub Banka</v>
      </c>
      <c r="C45" s="88">
        <f>COUNTIF(Global!J$5:U$96,B45)</f>
        <v>2</v>
      </c>
      <c r="J45" s="87" t="b">
        <f t="shared" si="1"/>
        <v>0</v>
      </c>
      <c r="K45" t="str">
        <v>Ionut Sava</v>
      </c>
      <c r="L45" s="83" cm="1">
        <f t="array" ref="L45:R45">_xlfn.LET(_xlpm.nome,K45,_xlpm.orari,Global!$G$5:$G$96,_xlpm.nomi,Global!$J$5:$U$96,IFERROR(_xlfn.TOROW(_xlfn._xlws.SORT(_xlfn.UNIQUE(_xlfn._xlws.FILTER(_xlpm.orari,_xlfn.BYROW(_xlpm.nomi,_xlfn.LAMBDA(_xlpm.r,COUNTIF(_xlpm.r,_xlpm.nome)&gt;0)) )))),""))</f>
        <v>0.4548611111111111</v>
      </c>
      <c r="M45" s="83">
        <v>0.51875000000000004</v>
      </c>
      <c r="N45" s="83">
        <v>0.56666666666666687</v>
      </c>
      <c r="O45" s="83">
        <v>0.64652777777777826</v>
      </c>
      <c r="P45" s="83">
        <v>0.69444444444444509</v>
      </c>
      <c r="Q45" s="83">
        <v>0.77430555555555647</v>
      </c>
      <c r="R45" s="83">
        <v>0.79027777777777874</v>
      </c>
      <c r="S45" s="83"/>
      <c r="T45" s="83"/>
      <c r="U45" s="75"/>
      <c r="V45" s="75"/>
      <c r="W45" s="75"/>
    </row>
    <row r="46" spans="2:23">
      <c r="B46" t="str">
        <v>Jori Tyni</v>
      </c>
      <c r="C46" s="88">
        <f>COUNTIF(Global!J$5:U$96,B46)</f>
        <v>2</v>
      </c>
      <c r="J46" s="87" t="b">
        <f t="shared" si="1"/>
        <v>0</v>
      </c>
      <c r="K46" t="str">
        <v>Ackerl Reinhard</v>
      </c>
      <c r="L46" s="83" cm="1">
        <f t="array" ref="L46:R46">_xlfn.LET(_xlpm.nome,K46,_xlpm.orari,Global!$G$5:$G$96,_xlpm.nomi,Global!$J$5:$U$96,IFERROR(_xlfn.TOROW(_xlfn._xlws.SORT(_xlfn.UNIQUE(_xlfn._xlws.FILTER(_xlpm.orari,_xlfn.BYROW(_xlpm.nomi,_xlfn.LAMBDA(_xlpm.r,COUNTIF(_xlpm.r,_xlpm.nome)&gt;0)) )))),""))</f>
        <v>0.375</v>
      </c>
      <c r="M46" s="83">
        <v>0.39097222222222222</v>
      </c>
      <c r="N46" s="83">
        <v>0.47083333333333333</v>
      </c>
      <c r="O46" s="83">
        <v>0.53472222222222232</v>
      </c>
      <c r="P46" s="83">
        <v>0.6145833333333337</v>
      </c>
      <c r="Q46" s="83">
        <v>0.69444444444444486</v>
      </c>
      <c r="R46" s="83">
        <v>0.71041666666666736</v>
      </c>
      <c r="S46" s="83"/>
      <c r="T46" s="83"/>
      <c r="U46" s="75"/>
      <c r="V46" s="75"/>
      <c r="W46" s="75"/>
    </row>
    <row r="47" spans="2:23">
      <c r="B47" t="str">
        <v>Klayn Aglika</v>
      </c>
      <c r="C47" s="88">
        <f>COUNTIF(Global!J$5:U$96,B47)</f>
        <v>9</v>
      </c>
      <c r="J47" s="87" t="b">
        <f t="shared" si="1"/>
        <v>0</v>
      </c>
      <c r="K47" t="str">
        <v>Tom</v>
      </c>
      <c r="L47" s="83" cm="1">
        <f t="array" ref="L47:P47">_xlfn.LET(_xlpm.nome,K47,_xlpm.orari,Global!$G$5:$G$96,_xlpm.nomi,Global!$J$5:$U$96,IFERROR(_xlfn.TOROW(_xlfn._xlws.SORT(_xlfn.UNIQUE(_xlfn._xlws.FILTER(_xlpm.orari,_xlfn.BYROW(_xlpm.nomi,_xlfn.LAMBDA(_xlpm.r,COUNTIF(_xlpm.r,_xlpm.nome)&gt;0)) )))),""))</f>
        <v>0.40694444444444444</v>
      </c>
      <c r="M47" s="83">
        <v>0.42291666666666666</v>
      </c>
      <c r="N47" s="83">
        <v>0.48680555555555555</v>
      </c>
      <c r="O47" s="83">
        <v>0.51875000000000004</v>
      </c>
      <c r="P47" s="83">
        <v>0.58263888888888915</v>
      </c>
      <c r="Q47" s="83"/>
      <c r="R47" s="83"/>
      <c r="S47" s="83"/>
      <c r="T47" s="83"/>
      <c r="U47" s="75"/>
      <c r="V47" s="75"/>
      <c r="W47" s="75"/>
    </row>
    <row r="48" spans="2:23">
      <c r="B48" t="str">
        <v>Kralova Irena</v>
      </c>
      <c r="C48" s="88">
        <f>COUNTIF(Global!J$5:U$96,B48)</f>
        <v>8</v>
      </c>
      <c r="J48" s="87" t="b">
        <f t="shared" si="1"/>
        <v>0</v>
      </c>
      <c r="K48" t="str">
        <v>Roberto</v>
      </c>
      <c r="L48" s="83" cm="1">
        <f t="array" ref="L48:R48">_xlfn.LET(_xlpm.nome,K48,_xlpm.orari,Global!$G$5:$G$96,_xlpm.nomi,Global!$J$5:$U$96,IFERROR(_xlfn.TOROW(_xlfn._xlws.SORT(_xlfn.UNIQUE(_xlfn._xlws.FILTER(_xlpm.orari,_xlfn.BYROW(_xlpm.nomi,_xlfn.LAMBDA(_xlpm.r,COUNTIF(_xlpm.r,_xlpm.nome)&gt;0)) )))),""))</f>
        <v>0.40694444444444444</v>
      </c>
      <c r="M48" s="83">
        <v>0.42291666666666666</v>
      </c>
      <c r="N48" s="83">
        <v>0.47083333333333333</v>
      </c>
      <c r="O48" s="83">
        <v>0.50277777777777777</v>
      </c>
      <c r="P48" s="83">
        <v>0.63055555555555598</v>
      </c>
      <c r="Q48" s="83">
        <v>0.67847222222222281</v>
      </c>
      <c r="R48" s="83">
        <v>0.74236111111111192</v>
      </c>
      <c r="S48" s="83"/>
      <c r="T48" s="83"/>
      <c r="U48" s="75"/>
      <c r="V48" s="75"/>
      <c r="W48" s="75"/>
    </row>
    <row r="49" spans="2:23">
      <c r="B49" t="str">
        <v>Marchese Emanuela</v>
      </c>
      <c r="C49" s="88">
        <f>COUNTIF(Global!J$5:U$96,B49)</f>
        <v>5</v>
      </c>
      <c r="J49" s="87" t="b">
        <f t="shared" si="1"/>
        <v>0</v>
      </c>
      <c r="K49" t="str">
        <v>Marinelli Andrea</v>
      </c>
      <c r="L49" s="83" cm="1">
        <f t="array" ref="L49:Q49">_xlfn.LET(_xlpm.nome,K49,_xlpm.orari,Global!$G$5:$G$96,_xlpm.nomi,Global!$J$5:$U$96,IFERROR(_xlfn.TOROW(_xlfn._xlws.SORT(_xlfn.UNIQUE(_xlfn._xlws.FILTER(_xlpm.orari,_xlfn.BYROW(_xlpm.nomi,_xlfn.LAMBDA(_xlpm.r,COUNTIF(_xlpm.r,_xlpm.nome)&gt;0)) )))),""))</f>
        <v>0.48680555555555555</v>
      </c>
      <c r="M49" s="83">
        <v>0.51875000000000004</v>
      </c>
      <c r="N49" s="83">
        <v>0.58263888888888915</v>
      </c>
      <c r="O49" s="83">
        <v>0.61458333333333359</v>
      </c>
      <c r="P49" s="83">
        <v>0.67847222222222281</v>
      </c>
      <c r="Q49" s="83">
        <v>0.71041666666666714</v>
      </c>
      <c r="R49" s="83"/>
      <c r="S49" s="83"/>
      <c r="T49" s="83"/>
      <c r="U49" s="75"/>
      <c r="V49" s="75"/>
      <c r="W49" s="75"/>
    </row>
    <row r="50" spans="2:23">
      <c r="B50" t="str">
        <v>Marchesini Matteo</v>
      </c>
      <c r="C50" s="88">
        <f>COUNTIF(Global!J$5:U$96,B50)</f>
        <v>7</v>
      </c>
      <c r="J50" s="87" t="b">
        <f t="shared" si="1"/>
        <v>0</v>
      </c>
      <c r="K50" t="str">
        <v>Mariusz Dzierżawski</v>
      </c>
      <c r="L50" s="83" cm="1">
        <f t="array" ref="L50:Q50">_xlfn.LET(_xlpm.nome,K50,_xlpm.orari,Global!$G$5:$G$96,_xlpm.nomi,Global!$J$5:$U$96,IFERROR(_xlfn.TOROW(_xlfn._xlws.SORT(_xlfn.UNIQUE(_xlfn._xlws.FILTER(_xlpm.orari,_xlfn.BYROW(_xlpm.nomi,_xlfn.LAMBDA(_xlpm.r,COUNTIF(_xlpm.r,_xlpm.nome)&gt;0)) )))),""))</f>
        <v>0.4548611111111111</v>
      </c>
      <c r="M50" s="83">
        <v>0.5506944444444446</v>
      </c>
      <c r="N50" s="83">
        <v>0.58263888888888915</v>
      </c>
      <c r="O50" s="83">
        <v>0.6145833333333337</v>
      </c>
      <c r="P50" s="83">
        <v>0.66250000000000053</v>
      </c>
      <c r="Q50" s="83">
        <v>0.75833333333333419</v>
      </c>
      <c r="R50" s="83"/>
      <c r="S50" s="83"/>
      <c r="T50" s="83"/>
      <c r="U50" s="75"/>
      <c r="V50" s="75"/>
      <c r="W50" s="75"/>
    </row>
    <row r="51" spans="2:23">
      <c r="B51" t="str">
        <v>Maria</v>
      </c>
      <c r="C51" s="88">
        <f>COUNTIF(Global!J$5:U$96,B51)</f>
        <v>8</v>
      </c>
      <c r="J51" s="87" t="b">
        <f t="shared" si="1"/>
        <v>0</v>
      </c>
      <c r="K51" t="str">
        <v>Anna Jaroszuk</v>
      </c>
      <c r="L51" s="83" cm="1">
        <f t="array" ref="L51:R51">_xlfn.LET(_xlpm.nome,K51,_xlpm.orari,Global!$G$5:$G$96,_xlpm.nomi,Global!$J$5:$U$96,IFERROR(_xlfn.TOROW(_xlfn._xlws.SORT(_xlfn.UNIQUE(_xlfn._xlws.FILTER(_xlpm.orari,_xlfn.BYROW(_xlpm.nomi,_xlfn.LAMBDA(_xlpm.r,COUNTIF(_xlpm.r,_xlpm.nome)&gt;0)) )))),""))</f>
        <v>0.4548611111111111</v>
      </c>
      <c r="M51" s="83">
        <v>0.50277777777777777</v>
      </c>
      <c r="N51" s="83">
        <v>0.5506944444444446</v>
      </c>
      <c r="O51" s="83">
        <v>0.64652777777777826</v>
      </c>
      <c r="P51" s="83">
        <v>0.69444444444444509</v>
      </c>
      <c r="Q51" s="83">
        <v>0.77430555555555647</v>
      </c>
      <c r="R51" s="83">
        <v>0.79027777777777874</v>
      </c>
      <c r="S51" s="83"/>
      <c r="T51" s="83"/>
      <c r="U51" s="75"/>
      <c r="V51" s="75"/>
      <c r="W51" s="75"/>
    </row>
    <row r="52" spans="2:23">
      <c r="B52" t="str">
        <v>Marinelli Andrea</v>
      </c>
      <c r="C52" s="88">
        <f>COUNTIF(Global!J$5:U$96,B52)</f>
        <v>6</v>
      </c>
      <c r="J52" s="87" t="b">
        <f t="shared" si="1"/>
        <v>0</v>
      </c>
      <c r="K52" t="str">
        <v>Raquel</v>
      </c>
      <c r="L52" s="83" cm="1">
        <f t="array" ref="L52:P52">_xlfn.LET(_xlpm.nome,K52,_xlpm.orari,Global!$G$5:$G$96,_xlpm.nomi,Global!$J$5:$U$96,IFERROR(_xlfn.TOROW(_xlfn._xlws.SORT(_xlfn.UNIQUE(_xlfn._xlws.FILTER(_xlpm.orari,_xlfn.BYROW(_xlpm.nomi,_xlfn.LAMBDA(_xlpm.r,COUNTIF(_xlpm.r,_xlpm.nome)&gt;0)) )))),""))</f>
        <v>0.375</v>
      </c>
      <c r="M52" s="83">
        <v>0.40694444444444444</v>
      </c>
      <c r="N52" s="83">
        <v>0.47083333333333333</v>
      </c>
      <c r="O52" s="83">
        <v>0.50277777777777777</v>
      </c>
      <c r="P52" s="83">
        <v>0.5506944444444446</v>
      </c>
      <c r="Q52" s="83"/>
      <c r="R52" s="83"/>
      <c r="S52" s="83"/>
      <c r="T52" s="83"/>
      <c r="U52" s="75"/>
      <c r="V52" s="75"/>
      <c r="W52" s="75"/>
    </row>
    <row r="53" spans="2:23">
      <c r="B53" t="str">
        <v>Mariusz Dzierżawski</v>
      </c>
      <c r="C53" s="88">
        <f>COUNTIF(Global!J$5:U$96,B53)</f>
        <v>6</v>
      </c>
      <c r="J53" s="87" t="b">
        <f t="shared" si="1"/>
        <v>0</v>
      </c>
      <c r="K53" t="str">
        <v>Maria</v>
      </c>
      <c r="L53" s="83" cm="1">
        <f t="array" ref="L53:S53">_xlfn.LET(_xlpm.nome,K53,_xlpm.orari,Global!$G$5:$G$96,_xlpm.nomi,Global!$J$5:$U$96,IFERROR(_xlfn.TOROW(_xlfn._xlws.SORT(_xlfn.UNIQUE(_xlfn._xlws.FILTER(_xlpm.orari,_xlfn.BYROW(_xlpm.nomi,_xlfn.LAMBDA(_xlpm.r,COUNTIF(_xlpm.r,_xlpm.nome)&gt;0)) )))),""))</f>
        <v>0.375</v>
      </c>
      <c r="M53" s="83">
        <v>0.39097222222222222</v>
      </c>
      <c r="N53" s="83">
        <v>0.48680555555555555</v>
      </c>
      <c r="O53" s="83">
        <v>0.50277777777777777</v>
      </c>
      <c r="P53" s="83">
        <v>0.53472222222222232</v>
      </c>
      <c r="Q53" s="83">
        <v>0.63055555555555598</v>
      </c>
      <c r="R53" s="83">
        <v>0.66250000000000031</v>
      </c>
      <c r="S53" s="83">
        <v>0.71041666666666714</v>
      </c>
      <c r="T53" s="83"/>
      <c r="U53" s="75"/>
      <c r="V53" s="75"/>
      <c r="W53" s="75"/>
    </row>
    <row r="54" spans="2:23">
      <c r="B54" t="str">
        <v>Mateusz Rudzik</v>
      </c>
      <c r="C54" s="88">
        <f>COUNTIF(Global!J$5:U$96,B54)</f>
        <v>5</v>
      </c>
      <c r="J54" s="87" t="b">
        <f t="shared" si="1"/>
        <v>0</v>
      </c>
      <c r="K54" t="str">
        <v>Klayn Aglika</v>
      </c>
      <c r="L54" s="83" cm="1">
        <f t="array" ref="L54:T54">_xlfn.LET(_xlpm.nome,K54,_xlpm.orari,Global!$G$5:$G$96,_xlpm.nomi,Global!$J$5:$U$96,IFERROR(_xlfn.TOROW(_xlfn._xlws.SORT(_xlfn.UNIQUE(_xlfn._xlws.FILTER(_xlpm.orari,_xlfn.BYROW(_xlpm.nomi,_xlfn.LAMBDA(_xlpm.r,COUNTIF(_xlpm.r,_xlpm.nome)&gt;0)) )))),""))</f>
        <v>0.39097222222222222</v>
      </c>
      <c r="M54" s="83">
        <v>0.42291666666666666</v>
      </c>
      <c r="N54" s="83">
        <v>0.47083333333333333</v>
      </c>
      <c r="O54" s="83">
        <v>0.51875000000000004</v>
      </c>
      <c r="P54" s="83">
        <v>0.5506944444444446</v>
      </c>
      <c r="Q54" s="83">
        <v>0.59861111111111143</v>
      </c>
      <c r="R54" s="83">
        <v>0.67847222222222259</v>
      </c>
      <c r="S54" s="83">
        <v>0.77430555555555647</v>
      </c>
      <c r="T54" s="83">
        <v>0.79027777777777874</v>
      </c>
      <c r="U54" s="75"/>
      <c r="V54" s="75"/>
      <c r="W54" s="75"/>
    </row>
    <row r="55" spans="2:23">
      <c r="B55" t="str">
        <v>Mauro Gabbarini</v>
      </c>
      <c r="C55" s="88">
        <f>COUNTIF(Global!J$5:U$96,B55)</f>
        <v>5</v>
      </c>
      <c r="J55" s="87" t="b">
        <f t="shared" si="1"/>
        <v>0</v>
      </c>
      <c r="K55" t="str">
        <v>CORRADO ALESSANDRO</v>
      </c>
      <c r="L55" s="83" cm="1">
        <f t="array" ref="L55:P55">_xlfn.LET(_xlpm.nome,K55,_xlpm.orari,Global!$G$5:$G$96,_xlpm.nomi,Global!$J$5:$U$96,IFERROR(_xlfn.TOROW(_xlfn._xlws.SORT(_xlfn.UNIQUE(_xlfn._xlws.FILTER(_xlpm.orari,_xlfn.BYROW(_xlpm.nomi,_xlfn.LAMBDA(_xlpm.r,COUNTIF(_xlpm.r,_xlpm.nome)&gt;0)) )))),""))</f>
        <v>0.375</v>
      </c>
      <c r="M55" s="83">
        <v>0.42291666666666666</v>
      </c>
      <c r="N55" s="83">
        <v>0.59861111111111143</v>
      </c>
      <c r="O55" s="83">
        <v>0.64652777777777826</v>
      </c>
      <c r="P55" s="83">
        <v>0.72638888888888964</v>
      </c>
      <c r="Q55" s="83"/>
      <c r="R55" s="83"/>
      <c r="S55" s="83"/>
      <c r="T55" s="83"/>
      <c r="U55" s="75"/>
      <c r="V55" s="75"/>
      <c r="W55" s="75"/>
    </row>
    <row r="56" spans="2:23">
      <c r="B56" t="str">
        <v xml:space="preserve">Medarova Keti </v>
      </c>
      <c r="C56" s="88">
        <f>COUNTIF(Global!J$5:U$96,B56)</f>
        <v>2</v>
      </c>
      <c r="J56" s="87" t="b">
        <f t="shared" si="1"/>
        <v>0</v>
      </c>
      <c r="K56" t="str">
        <v>Frank Pétavy</v>
      </c>
      <c r="L56" s="83" cm="1">
        <f t="array" ref="L56:S56">_xlfn.LET(_xlpm.nome,K56,_xlpm.orari,Global!$G$5:$G$96,_xlpm.nomi,Global!$J$5:$U$96,IFERROR(_xlfn.TOROW(_xlfn._xlws.SORT(_xlfn.UNIQUE(_xlfn._xlws.FILTER(_xlpm.orari,_xlfn.BYROW(_xlpm.nomi,_xlfn.LAMBDA(_xlpm.r,COUNTIF(_xlpm.r,_xlpm.nome)&gt;0)) )))),""))</f>
        <v>0.375</v>
      </c>
      <c r="M56" s="83">
        <v>0.39097222222222222</v>
      </c>
      <c r="N56" s="83">
        <v>0.50277777777777777</v>
      </c>
      <c r="O56" s="83">
        <v>0.53472222222222232</v>
      </c>
      <c r="P56" s="83">
        <v>0.63055555555555576</v>
      </c>
      <c r="Q56" s="83">
        <v>0.67847222222222259</v>
      </c>
      <c r="R56" s="83">
        <v>0.72638888888888964</v>
      </c>
      <c r="S56" s="83">
        <v>0.77430555555555647</v>
      </c>
      <c r="T56" s="83"/>
      <c r="U56" s="75"/>
      <c r="V56" s="75"/>
      <c r="W56" s="75"/>
    </row>
    <row r="57" spans="2:23">
      <c r="B57" t="str">
        <v>Michal Narojek</v>
      </c>
      <c r="C57" s="88">
        <f>COUNTIF(Global!J$5:U$96,B57)</f>
        <v>6</v>
      </c>
      <c r="J57" s="87" t="b">
        <f t="shared" si="1"/>
        <v>0</v>
      </c>
      <c r="K57" t="str">
        <v>Evangelos Kotzagiorgis</v>
      </c>
      <c r="L57" s="83" cm="1">
        <f t="array" ref="L57:S57">_xlfn.LET(_xlpm.nome,K57,_xlpm.orari,Global!$G$5:$G$96,_xlpm.nomi,Global!$J$5:$U$96,IFERROR(_xlfn.TOROW(_xlfn._xlws.SORT(_xlfn.UNIQUE(_xlfn._xlws.FILTER(_xlpm.orari,_xlfn.BYROW(_xlpm.nomi,_xlfn.LAMBDA(_xlpm.r,COUNTIF(_xlpm.r,_xlpm.nome)&gt;0)) )))),""))</f>
        <v>0.375</v>
      </c>
      <c r="M57" s="83">
        <v>0.39097222222222222</v>
      </c>
      <c r="N57" s="83">
        <v>0.48680555555555555</v>
      </c>
      <c r="O57" s="83">
        <v>0.5506944444444446</v>
      </c>
      <c r="P57" s="83">
        <v>0.56666666666666687</v>
      </c>
      <c r="Q57" s="83">
        <v>0.63055555555555576</v>
      </c>
      <c r="R57" s="83">
        <v>0.64652777777777826</v>
      </c>
      <c r="S57" s="83">
        <v>0.69444444444444509</v>
      </c>
      <c r="T57" s="83"/>
      <c r="U57" s="75"/>
      <c r="V57" s="75"/>
      <c r="W57" s="75"/>
    </row>
    <row r="58" spans="2:23">
      <c r="B58" t="str">
        <v>Michela</v>
      </c>
      <c r="C58" s="88">
        <f>COUNTIF(Global!J$5:U$96,B58)</f>
        <v>2</v>
      </c>
      <c r="J58" s="87" t="b">
        <f t="shared" si="1"/>
        <v>0</v>
      </c>
      <c r="K58" s="62" t="str">
        <v xml:space="preserve">Napolitano Andrea </v>
      </c>
      <c r="L58" s="83" cm="1">
        <f t="array" ref="L58:P58">_xlfn.LET(_xlpm.nome,K58,_xlpm.orari,Global!$G$5:$G$96,_xlpm.nomi,Global!$J$5:$U$96,IFERROR(_xlfn.TOROW(_xlfn._xlws.SORT(_xlfn.UNIQUE(_xlfn._xlws.FILTER(_xlpm.orari,_xlfn.BYROW(_xlpm.nomi,_xlfn.LAMBDA(_xlpm.r,COUNTIF(_xlpm.r,_xlpm.nome)&gt;0)) )))),""))</f>
        <v>0.39097222222222222</v>
      </c>
      <c r="M58" s="83">
        <v>0.42291666666666666</v>
      </c>
      <c r="N58" s="83">
        <v>0.64652777777777803</v>
      </c>
      <c r="O58" s="83">
        <v>0.66250000000000053</v>
      </c>
      <c r="P58" s="83">
        <v>0.71041666666666736</v>
      </c>
      <c r="Q58" s="83"/>
      <c r="R58" s="83"/>
      <c r="S58" s="83"/>
      <c r="T58" s="83"/>
      <c r="U58" s="75"/>
      <c r="V58" s="75"/>
      <c r="W58" s="75"/>
    </row>
    <row r="59" spans="2:23">
      <c r="B59" t="str">
        <v>Mihaela Pereteatcu</v>
      </c>
      <c r="C59" s="88">
        <f>COUNTIF(Global!J$5:U$96,B59)</f>
        <v>5</v>
      </c>
      <c r="J59" s="87" t="b">
        <f t="shared" si="1"/>
        <v>0</v>
      </c>
      <c r="K59" s="62" t="str">
        <v>Radovan Kyselica</v>
      </c>
      <c r="L59" s="83" cm="1">
        <f t="array" ref="L59:O59">_xlfn.LET(_xlpm.nome,K59,_xlpm.orari,Global!$G$5:$G$96,_xlpm.nomi,Global!$J$5:$U$96,IFERROR(_xlfn.TOROW(_xlfn._xlws.SORT(_xlfn.UNIQUE(_xlfn._xlws.FILTER(_xlpm.orari,_xlfn.BYROW(_xlpm.nomi,_xlfn.LAMBDA(_xlpm.r,COUNTIF(_xlpm.r,_xlpm.nome)&gt;0)) )))),""))</f>
        <v>0.375</v>
      </c>
      <c r="M59" s="83">
        <v>0.40694444444444444</v>
      </c>
      <c r="N59" s="83">
        <v>0.50277777777777777</v>
      </c>
      <c r="O59" s="83">
        <v>0.53472222222222232</v>
      </c>
      <c r="P59" s="83"/>
      <c r="Q59" s="83"/>
      <c r="R59" s="83"/>
      <c r="S59" s="83"/>
      <c r="T59" s="83"/>
      <c r="U59" s="75"/>
      <c r="V59" s="75"/>
      <c r="W59" s="75"/>
    </row>
    <row r="60" spans="2:23">
      <c r="B60" t="str">
        <v>Monika Ciesielska</v>
      </c>
      <c r="C60" s="88">
        <f>COUNTIF(Global!J$5:U$96,B60)</f>
        <v>5</v>
      </c>
      <c r="J60" s="87" t="b">
        <f t="shared" si="1"/>
        <v>0</v>
      </c>
      <c r="K60" s="62" t="str">
        <v>Damian Krzak</v>
      </c>
      <c r="L60" s="83" cm="1">
        <f t="array" ref="L60:M60">_xlfn.LET(_xlpm.nome,K60,_xlpm.orari,Global!$G$5:$G$96,_xlpm.nomi,Global!$J$5:$U$96,IFERROR(_xlfn.TOROW(_xlfn._xlws.SORT(_xlfn.UNIQUE(_xlfn._xlws.FILTER(_xlpm.orari,_xlfn.BYROW(_xlpm.nomi,_xlfn.LAMBDA(_xlpm.r,COUNTIF(_xlpm.r,_xlpm.nome)&gt;0)) )))),""))</f>
        <v>0.375</v>
      </c>
      <c r="M60" s="83">
        <v>0.42291666666666666</v>
      </c>
      <c r="N60" s="83"/>
      <c r="O60" s="83"/>
      <c r="P60" s="83"/>
      <c r="Q60" s="83"/>
      <c r="R60" s="83"/>
      <c r="S60" s="83"/>
      <c r="T60" s="83"/>
      <c r="U60" s="75"/>
      <c r="V60" s="75"/>
      <c r="W60" s="75"/>
    </row>
    <row r="61" spans="2:23">
      <c r="B61" t="str">
        <v xml:space="preserve">Napolitano Andrea </v>
      </c>
      <c r="C61" s="88">
        <f>COUNTIF(Global!J$5:U$96,B61)</f>
        <v>5</v>
      </c>
      <c r="J61" s="87" t="b">
        <f t="shared" si="1"/>
        <v>0</v>
      </c>
      <c r="K61" t="str">
        <v>Thibaut Sauces</v>
      </c>
      <c r="L61" s="83" cm="1">
        <f t="array" ref="L61:R61">_xlfn.LET(_xlpm.nome,K61,_xlpm.orari,Global!$G$5:$G$96,_xlpm.nomi,Global!$J$5:$U$96,IFERROR(_xlfn.TOROW(_xlfn._xlws.SORT(_xlfn.UNIQUE(_xlfn._xlws.FILTER(_xlpm.orari,_xlfn.BYROW(_xlpm.nomi,_xlfn.LAMBDA(_xlpm.r,COUNTIF(_xlpm.r,_xlpm.nome)&gt;0)) )))),""))</f>
        <v>0.375</v>
      </c>
      <c r="M61" s="83">
        <v>0.39097222222222222</v>
      </c>
      <c r="N61" s="83">
        <v>0.50277777777777777</v>
      </c>
      <c r="O61" s="83">
        <v>0.53472222222222232</v>
      </c>
      <c r="P61" s="83">
        <v>0.64652777777777803</v>
      </c>
      <c r="Q61" s="83">
        <v>0.69444444444444486</v>
      </c>
      <c r="R61" s="83">
        <v>0.75833333333333419</v>
      </c>
      <c r="S61" s="83"/>
      <c r="T61" s="83"/>
      <c r="U61" s="75"/>
      <c r="V61" s="75"/>
      <c r="W61" s="75"/>
    </row>
    <row r="62" spans="2:23">
      <c r="B62" t="str">
        <v>Natalia Alberska</v>
      </c>
      <c r="C62" s="88">
        <f>COUNTIF(Global!J$5:U$96,B62)</f>
        <v>8</v>
      </c>
      <c r="J62" s="87" t="b">
        <f t="shared" si="1"/>
        <v>0</v>
      </c>
      <c r="K62" t="str">
        <v>Elisa B.</v>
      </c>
      <c r="L62" s="83" cm="1">
        <f t="array" ref="L62:S62">_xlfn.LET(_xlpm.nome,K62,_xlpm.orari,Global!$G$5:$G$96,_xlpm.nomi,Global!$J$5:$U$96,IFERROR(_xlfn.TOROW(_xlfn._xlws.SORT(_xlfn.UNIQUE(_xlfn._xlws.FILTER(_xlpm.orari,_xlfn.BYROW(_xlpm.nomi,_xlfn.LAMBDA(_xlpm.r,COUNTIF(_xlpm.r,_xlpm.nome)&gt;0)) )))),""))</f>
        <v>0.39097222222222222</v>
      </c>
      <c r="M62" s="83">
        <v>0.40694444444444444</v>
      </c>
      <c r="N62" s="83">
        <v>0.48680555555555555</v>
      </c>
      <c r="O62" s="83">
        <v>0.5506944444444446</v>
      </c>
      <c r="P62" s="83">
        <v>0.56666666666666687</v>
      </c>
      <c r="Q62" s="83">
        <v>0.63055555555555576</v>
      </c>
      <c r="R62" s="83">
        <v>0.67847222222222259</v>
      </c>
      <c r="S62" s="83">
        <v>0.72638888888888964</v>
      </c>
      <c r="T62" s="83"/>
      <c r="U62" s="75"/>
      <c r="V62" s="75"/>
      <c r="W62" s="75"/>
    </row>
    <row r="63" spans="2:23">
      <c r="B63" t="str">
        <v>Oliver Bosnar</v>
      </c>
      <c r="C63" s="88">
        <f>COUNTIF(Global!J$5:U$96,B63)</f>
        <v>8</v>
      </c>
      <c r="J63" s="87" t="b">
        <f t="shared" si="1"/>
        <v>0</v>
      </c>
      <c r="K63" t="str">
        <v>Ilaria</v>
      </c>
      <c r="L63" s="83" cm="1">
        <f t="array" ref="L63:S63">_xlfn.LET(_xlpm.nome,K63,_xlpm.orari,Global!$G$5:$G$96,_xlpm.nomi,Global!$J$5:$U$96,IFERROR(_xlfn.TOROW(_xlfn._xlws.SORT(_xlfn.UNIQUE(_xlfn._xlws.FILTER(_xlpm.orari,_xlfn.BYROW(_xlpm.nomi,_xlfn.LAMBDA(_xlpm.r,COUNTIF(_xlpm.r,_xlpm.nome)&gt;0)) )))),""))</f>
        <v>0.40694444444444444</v>
      </c>
      <c r="M63" s="83">
        <v>0.42291666666666666</v>
      </c>
      <c r="N63" s="83">
        <v>0.48680555555555555</v>
      </c>
      <c r="O63" s="83">
        <v>0.5506944444444446</v>
      </c>
      <c r="P63" s="83">
        <v>0.56666666666666687</v>
      </c>
      <c r="Q63" s="83">
        <v>0.63055555555555598</v>
      </c>
      <c r="R63" s="83">
        <v>0.67847222222222281</v>
      </c>
      <c r="S63" s="83">
        <v>0.74236111111111192</v>
      </c>
      <c r="T63" s="83"/>
      <c r="U63" s="75"/>
      <c r="V63" s="75"/>
      <c r="W63" s="75"/>
    </row>
    <row r="64" spans="2:23">
      <c r="B64" t="str">
        <v xml:space="preserve">Paunovic Ogren </v>
      </c>
      <c r="C64" s="88">
        <f>COUNTIF(Global!J$5:U$96,B64)</f>
        <v>5</v>
      </c>
      <c r="J64" s="87" t="b">
        <f t="shared" si="1"/>
        <v>0</v>
      </c>
      <c r="K64" t="str">
        <v>Federica C.</v>
      </c>
      <c r="L64" s="83" cm="1">
        <f t="array" ref="L64:P64">_xlfn.LET(_xlpm.nome,K64,_xlpm.orari,Global!$G$5:$G$96,_xlpm.nomi,Global!$J$5:$U$96,IFERROR(_xlfn.TOROW(_xlfn._xlws.SORT(_xlfn.UNIQUE(_xlfn._xlws.FILTER(_xlpm.orari,_xlfn.BYROW(_xlpm.nomi,_xlfn.LAMBDA(_xlpm.r,COUNTIF(_xlpm.r,_xlpm.nome)&gt;0)) )))),""))</f>
        <v>0.39097222222222222</v>
      </c>
      <c r="M64" s="83">
        <v>0.40694444444444444</v>
      </c>
      <c r="N64" s="83">
        <v>0.63055555555555598</v>
      </c>
      <c r="O64" s="83">
        <v>0.67847222222222281</v>
      </c>
      <c r="P64" s="83">
        <v>0.74236111111111192</v>
      </c>
      <c r="Q64" s="83"/>
      <c r="R64" s="83"/>
      <c r="S64" s="83"/>
      <c r="T64" s="83"/>
      <c r="U64" s="75"/>
      <c r="V64" s="75"/>
      <c r="W64" s="75"/>
    </row>
    <row r="65" spans="2:23">
      <c r="B65" t="str">
        <v>Pecoraro Simona</v>
      </c>
      <c r="C65" s="88">
        <f>COUNTIF(Global!J$5:U$96,B65)</f>
        <v>8</v>
      </c>
      <c r="J65" s="87" t="b">
        <f t="shared" si="1"/>
        <v>0</v>
      </c>
      <c r="K65" t="str">
        <v xml:space="preserve">Piiroja Ivi </v>
      </c>
      <c r="L65" s="83" cm="1">
        <f t="array" ref="L65:P65">_xlfn.LET(_xlpm.nome,K65,_xlpm.orari,Global!$G$5:$G$96,_xlpm.nomi,Global!$J$5:$U$96,IFERROR(_xlfn.TOROW(_xlfn._xlws.SORT(_xlfn.UNIQUE(_xlfn._xlws.FILTER(_xlpm.orari,_xlfn.BYROW(_xlpm.nomi,_xlfn.LAMBDA(_xlpm.r,COUNTIF(_xlpm.r,_xlpm.nome)&gt;0)) )))),""))</f>
        <v>0.39097222222222222</v>
      </c>
      <c r="M65" s="83">
        <v>0.42291666666666666</v>
      </c>
      <c r="N65" s="83">
        <v>0.64652777777777803</v>
      </c>
      <c r="O65" s="83">
        <v>0.69444444444444486</v>
      </c>
      <c r="P65" s="83">
        <v>0.75833333333333419</v>
      </c>
      <c r="Q65" s="83"/>
      <c r="R65" s="83"/>
      <c r="S65" s="83"/>
      <c r="T65" s="83"/>
      <c r="U65" s="75"/>
      <c r="V65" s="75"/>
      <c r="W65" s="75"/>
    </row>
    <row r="66" spans="2:23">
      <c r="B66" t="str">
        <v xml:space="preserve">Piiroja Ivi </v>
      </c>
      <c r="C66" s="88">
        <f>COUNTIF(Global!J$5:U$96,B66)</f>
        <v>5</v>
      </c>
      <c r="J66" s="87" t="b">
        <f t="shared" si="1"/>
        <v>0</v>
      </c>
      <c r="K66" t="str">
        <v>Jakub Banka</v>
      </c>
      <c r="L66" s="83" cm="1">
        <f t="array" ref="L66:M66">_xlfn.LET(_xlpm.nome,K66,_xlpm.orari,Global!$G$5:$G$96,_xlpm.nomi,Global!$J$5:$U$96,IFERROR(_xlfn.TOROW(_xlfn._xlws.SORT(_xlfn.UNIQUE(_xlfn._xlws.FILTER(_xlpm.orari,_xlfn.BYROW(_xlpm.nomi,_xlfn.LAMBDA(_xlpm.r,COUNTIF(_xlpm.r,_xlpm.nome)&gt;0)) )))),""))</f>
        <v>0.375</v>
      </c>
      <c r="M66" s="83">
        <v>0.40694444444444444</v>
      </c>
      <c r="N66" s="83"/>
      <c r="O66" s="83"/>
      <c r="P66" s="83"/>
      <c r="Q66" s="83"/>
      <c r="R66" s="83"/>
      <c r="S66" s="83"/>
      <c r="T66" s="83"/>
      <c r="U66" s="75"/>
      <c r="V66" s="75"/>
      <c r="W66" s="75"/>
    </row>
    <row r="67" spans="2:23">
      <c r="B67" t="str">
        <v>Radovan Kyselica</v>
      </c>
      <c r="C67" s="88">
        <f>COUNTIF(Global!J$5:U$96,B67)</f>
        <v>4</v>
      </c>
      <c r="J67" s="87" t="b">
        <f t="shared" si="1"/>
        <v>0</v>
      </c>
      <c r="K67" t="str">
        <v>GURRIERI ROSARIO</v>
      </c>
      <c r="L67" s="83" cm="1">
        <f t="array" ref="L67:M67">_xlfn.LET(_xlpm.nome,K67,_xlpm.orari,Global!$G$5:$G$96,_xlpm.nomi,Global!$J$5:$U$96,IFERROR(_xlfn.TOROW(_xlfn._xlws.SORT(_xlfn.UNIQUE(_xlfn._xlws.FILTER(_xlpm.orari,_xlfn.BYROW(_xlpm.nomi,_xlfn.LAMBDA(_xlpm.r,COUNTIF(_xlpm.r,_xlpm.nome)&gt;0)) )))),""))</f>
        <v>0.375</v>
      </c>
      <c r="M67" s="83">
        <v>0.42291666666666666</v>
      </c>
      <c r="N67" s="83"/>
      <c r="O67" s="83"/>
      <c r="P67" s="83"/>
      <c r="Q67" s="83"/>
      <c r="R67" s="83"/>
      <c r="S67" s="83"/>
      <c r="T67" s="83"/>
      <c r="U67" s="75"/>
      <c r="V67" s="75"/>
      <c r="W67" s="75"/>
    </row>
    <row r="68" spans="2:23">
      <c r="B68" t="str">
        <v>Raquel</v>
      </c>
      <c r="C68" s="88">
        <f>COUNTIF(Global!J$5:U$96,B68)</f>
        <v>5</v>
      </c>
      <c r="J68" s="87" t="b">
        <f t="shared" ref="J68:J88" si="2">COUNTA(L68:T68)&gt;COUNTA(_xlfn.UNIQUE(_xlfn.TOCOL(L68:T68,1)))</f>
        <v>0</v>
      </c>
      <c r="K68" t="str">
        <v>Dariusz Neuhoff von der Ley</v>
      </c>
      <c r="L68" s="83" cm="1">
        <f t="array" ref="L68:O68">_xlfn.LET(_xlpm.nome,K68,_xlpm.orari,Global!$G$5:$G$96,_xlpm.nomi,Global!$J$5:$U$96,IFERROR(_xlfn.TOROW(_xlfn._xlws.SORT(_xlfn.UNIQUE(_xlfn._xlws.FILTER(_xlpm.orari,_xlfn.BYROW(_xlpm.nomi,_xlfn.LAMBDA(_xlpm.r,COUNTIF(_xlpm.r,_xlpm.nome)&gt;0)) )))),""))</f>
        <v>0.375</v>
      </c>
      <c r="M68" s="83">
        <v>0.42291666666666666</v>
      </c>
      <c r="N68" s="83">
        <v>0.50277777777777777</v>
      </c>
      <c r="O68" s="83">
        <v>0.53472222222222232</v>
      </c>
      <c r="P68" s="83"/>
      <c r="Q68" s="83"/>
      <c r="R68" s="83"/>
      <c r="S68" s="83"/>
      <c r="T68" s="83"/>
      <c r="U68" s="75"/>
      <c r="V68" s="75"/>
      <c r="W68" s="75"/>
    </row>
    <row r="69" spans="2:23">
      <c r="B69" t="str">
        <v>Rausch Laura</v>
      </c>
      <c r="C69" s="88">
        <f>COUNTIF(Global!J$5:U$96,B69)</f>
        <v>7</v>
      </c>
      <c r="J69" s="87" t="b">
        <f t="shared" si="2"/>
        <v>0</v>
      </c>
      <c r="K69" t="str">
        <v>Alex Gentimis</v>
      </c>
      <c r="L69" s="83" cm="1">
        <f t="array" ref="L69:N69">_xlfn.LET(_xlpm.nome,K69,_xlpm.orari,Global!$G$5:$G$96,_xlpm.nomi,Global!$J$5:$U$96,IFERROR(_xlfn.TOROW(_xlfn._xlws.SORT(_xlfn.UNIQUE(_xlfn._xlws.FILTER(_xlpm.orari,_xlfn.BYROW(_xlpm.nomi,_xlfn.LAMBDA(_xlpm.r,COUNTIF(_xlpm.r,_xlpm.nome)&gt;0)) )))),""))</f>
        <v>0.48680555555555555</v>
      </c>
      <c r="M69" s="83">
        <v>0.5506944444444446</v>
      </c>
      <c r="N69" s="83">
        <v>0.56666666666666687</v>
      </c>
      <c r="O69" s="83"/>
      <c r="P69" s="83"/>
      <c r="Q69" s="83"/>
      <c r="R69" s="83"/>
      <c r="S69" s="83"/>
      <c r="T69" s="83"/>
      <c r="U69" s="75"/>
      <c r="V69" s="75"/>
      <c r="W69" s="75"/>
    </row>
    <row r="70" spans="2:23">
      <c r="B70" t="str">
        <v>Roberto</v>
      </c>
      <c r="C70" s="88">
        <f>COUNTIF(Global!J$5:U$96,B70)</f>
        <v>7</v>
      </c>
      <c r="J70" s="87" t="b">
        <f t="shared" si="2"/>
        <v>0</v>
      </c>
      <c r="K70" t="str">
        <v>Federica R.</v>
      </c>
      <c r="L70" s="83" cm="1">
        <f t="array" ref="L70:P70">_xlfn.LET(_xlpm.nome,K70,_xlpm.orari,Global!$G$5:$G$96,_xlpm.nomi,Global!$J$5:$U$96,IFERROR(_xlfn.TOROW(_xlfn._xlws.SORT(_xlfn.UNIQUE(_xlfn._xlws.FILTER(_xlpm.orari,_xlfn.BYROW(_xlpm.nomi,_xlfn.LAMBDA(_xlpm.r,COUNTIF(_xlpm.r,_xlpm.nome)&gt;0)) )))),""))</f>
        <v>0.40694444444444444</v>
      </c>
      <c r="M70" s="83">
        <v>0.42291666666666666</v>
      </c>
      <c r="N70" s="83">
        <v>0.47083333333333333</v>
      </c>
      <c r="O70" s="83">
        <v>0.51875000000000004</v>
      </c>
      <c r="P70" s="83">
        <v>0.53472222222222232</v>
      </c>
      <c r="Q70" s="83"/>
      <c r="R70" s="83"/>
      <c r="S70" s="83"/>
      <c r="T70" s="83"/>
      <c r="U70" s="75"/>
      <c r="V70" s="75"/>
      <c r="W70" s="75"/>
    </row>
    <row r="71" spans="2:23">
      <c r="B71" t="str">
        <v>ROMERO JULIAN</v>
      </c>
      <c r="C71" s="88">
        <f>COUNTIF(Global!J$5:U$96,B71)</f>
        <v>2</v>
      </c>
      <c r="J71" s="87" t="b">
        <f t="shared" si="2"/>
        <v>0</v>
      </c>
      <c r="K71" t="str">
        <v>Flavio</v>
      </c>
      <c r="L71" s="83" cm="1">
        <f t="array" ref="L71:P71">_xlfn.LET(_xlpm.nome,K71,_xlpm.orari,Global!$G$5:$G$96,_xlpm.nomi,Global!$J$5:$U$96,IFERROR(_xlfn.TOROW(_xlfn._xlws.SORT(_xlfn.UNIQUE(_xlfn._xlws.FILTER(_xlpm.orari,_xlfn.BYROW(_xlpm.nomi,_xlfn.LAMBDA(_xlpm.r,COUNTIF(_xlpm.r,_xlpm.nome)&gt;0)) )))),""))</f>
        <v>0.39097222222222222</v>
      </c>
      <c r="M71" s="83">
        <v>0.40694444444444444</v>
      </c>
      <c r="N71" s="83">
        <v>0.63055555555555576</v>
      </c>
      <c r="O71" s="83">
        <v>0.67847222222222259</v>
      </c>
      <c r="P71" s="83">
        <v>0.72638888888888964</v>
      </c>
      <c r="Q71" s="83"/>
      <c r="R71" s="83"/>
      <c r="S71" s="83"/>
      <c r="T71" s="83"/>
      <c r="U71" s="75"/>
      <c r="V71" s="75"/>
      <c r="W71" s="75"/>
    </row>
    <row r="72" spans="2:23">
      <c r="B72" t="str">
        <v>Scioni Barbara</v>
      </c>
      <c r="C72" s="88">
        <f>COUNTIF(Global!J$5:U$96,B72)</f>
        <v>5</v>
      </c>
      <c r="J72" s="87" t="b">
        <f t="shared" si="2"/>
        <v>0</v>
      </c>
      <c r="K72" t="str">
        <v xml:space="preserve">Paunovic Ogren </v>
      </c>
      <c r="L72" s="83" cm="1">
        <f t="array" ref="L72:P72">_xlfn.LET(_xlpm.nome,K72,_xlpm.orari,Global!$G$5:$G$96,_xlpm.nomi,Global!$J$5:$U$96,IFERROR(_xlfn.TOROW(_xlfn._xlws.SORT(_xlfn.UNIQUE(_xlfn._xlws.FILTER(_xlpm.orari,_xlfn.BYROW(_xlpm.nomi,_xlfn.LAMBDA(_xlpm.r,COUNTIF(_xlpm.r,_xlpm.nome)&gt;0)) )))),""))</f>
        <v>0.39097222222222222</v>
      </c>
      <c r="M72" s="83">
        <v>0.40694444444444444</v>
      </c>
      <c r="N72" s="83">
        <v>0.64652777777777803</v>
      </c>
      <c r="O72" s="83">
        <v>0.69444444444444486</v>
      </c>
      <c r="P72" s="83">
        <v>0.75833333333333419</v>
      </c>
      <c r="Q72" s="83"/>
      <c r="R72" s="83"/>
      <c r="S72" s="83"/>
      <c r="T72" s="83"/>
      <c r="U72" s="75"/>
      <c r="V72" s="75"/>
      <c r="W72" s="75"/>
    </row>
    <row r="73" spans="2:23">
      <c r="B73" t="str">
        <v>Seixas Joao</v>
      </c>
      <c r="C73" s="88">
        <f>COUNTIF(Global!J$5:U$96,B73)</f>
        <v>8</v>
      </c>
      <c r="J73" s="87" t="b">
        <f t="shared" si="2"/>
        <v>0</v>
      </c>
      <c r="K73" t="str">
        <v>Claudiu Chirias</v>
      </c>
      <c r="L73" s="83" cm="1">
        <f t="array" ref="L73:M73">_xlfn.LET(_xlpm.nome,K73,_xlpm.orari,Global!$G$5:$G$96,_xlpm.nomi,Global!$J$5:$U$96,IFERROR(_xlfn.TOROW(_xlfn._xlws.SORT(_xlfn.UNIQUE(_xlfn._xlws.FILTER(_xlpm.orari,_xlfn.BYROW(_xlpm.nomi,_xlfn.LAMBDA(_xlpm.r,COUNTIF(_xlpm.r,_xlpm.nome)&gt;0)) )))),""))</f>
        <v>0.375</v>
      </c>
      <c r="M73" s="83">
        <v>0.40694444444444444</v>
      </c>
      <c r="N73" s="83"/>
      <c r="O73" s="83"/>
      <c r="P73" s="83"/>
      <c r="Q73" s="83"/>
      <c r="R73" s="83"/>
      <c r="S73" s="83"/>
      <c r="T73" s="83"/>
      <c r="U73" s="75"/>
      <c r="V73" s="75"/>
      <c r="W73" s="75"/>
    </row>
    <row r="74" spans="2:23">
      <c r="B74" t="str">
        <v>Serra Jose Manuel de Jesus</v>
      </c>
      <c r="C74" s="88">
        <f>COUNTIF(Global!J$5:U$96,B74)</f>
        <v>5</v>
      </c>
      <c r="J74" s="87" t="b">
        <f t="shared" si="2"/>
        <v>0</v>
      </c>
      <c r="K74" t="str">
        <v>ROMERO JULIAN</v>
      </c>
      <c r="L74" s="83" cm="1">
        <f t="array" ref="L74:M74">_xlfn.LET(_xlpm.nome,K74,_xlpm.orari,Global!$G$5:$G$96,_xlpm.nomi,Global!$J$5:$U$96,IFERROR(_xlfn.TOROW(_xlfn._xlws.SORT(_xlfn.UNIQUE(_xlfn._xlws.FILTER(_xlpm.orari,_xlfn.BYROW(_xlpm.nomi,_xlfn.LAMBDA(_xlpm.r,COUNTIF(_xlpm.r,_xlpm.nome)&gt;0)) )))),""))</f>
        <v>0.375</v>
      </c>
      <c r="M74" s="83">
        <v>0.42291666666666666</v>
      </c>
      <c r="N74" s="83"/>
      <c r="O74" s="83"/>
      <c r="P74" s="83"/>
      <c r="Q74" s="83"/>
      <c r="R74" s="83"/>
      <c r="S74" s="83"/>
      <c r="T74" s="83"/>
      <c r="U74" s="75"/>
      <c r="V74" s="75"/>
      <c r="W74" s="75"/>
    </row>
    <row r="75" spans="2:23">
      <c r="B75" t="str">
        <v>Silvio</v>
      </c>
      <c r="C75" s="88">
        <f>COUNTIF(Global!J$5:U$96,B75)</f>
        <v>2</v>
      </c>
      <c r="J75" s="87" t="b">
        <f t="shared" si="2"/>
        <v>0</v>
      </c>
      <c r="K75" t="str">
        <v>Jori Tyni</v>
      </c>
      <c r="L75" s="83" cm="1">
        <f t="array" ref="L75:M75">_xlfn.LET(_xlpm.nome,K75,_xlpm.orari,Global!$G$5:$G$96,_xlpm.nomi,Global!$J$5:$U$96,IFERROR(_xlfn.TOROW(_xlfn._xlws.SORT(_xlfn.UNIQUE(_xlfn._xlws.FILTER(_xlpm.orari,_xlfn.BYROW(_xlpm.nomi,_xlfn.LAMBDA(_xlpm.r,COUNTIF(_xlpm.r,_xlpm.nome)&gt;0)) )))),""))</f>
        <v>0.375</v>
      </c>
      <c r="M75" s="83">
        <v>0.42291666666666666</v>
      </c>
      <c r="N75" s="83"/>
      <c r="O75" s="83"/>
      <c r="P75" s="83"/>
      <c r="Q75" s="83"/>
      <c r="R75" s="83"/>
      <c r="S75" s="83"/>
      <c r="T75" s="83"/>
      <c r="U75" s="75"/>
      <c r="V75" s="75"/>
      <c r="W75" s="75"/>
    </row>
    <row r="76" spans="2:23">
      <c r="B76" t="str">
        <v>Stanciu Anca</v>
      </c>
      <c r="C76" s="88">
        <f>COUNTIF(Global!J$5:U$96,B76)</f>
        <v>7</v>
      </c>
      <c r="J76" s="87" t="b">
        <f t="shared" si="2"/>
        <v>0</v>
      </c>
      <c r="K76" t="str">
        <v>Valeria</v>
      </c>
      <c r="L76" s="83" cm="1">
        <f t="array" ref="L76:M76">_xlfn.LET(_xlpm.nome,K76,_xlpm.orari,Global!$G$5:$G$96,_xlpm.nomi,Global!$J$5:$U$96,IFERROR(_xlfn.TOROW(_xlfn._xlws.SORT(_xlfn.UNIQUE(_xlfn._xlws.FILTER(_xlpm.orari,_xlfn.BYROW(_xlpm.nomi,_xlfn.LAMBDA(_xlpm.r,COUNTIF(_xlpm.r,_xlpm.nome)&gt;0)) )))),""))</f>
        <v>0.375</v>
      </c>
      <c r="M76" s="83">
        <v>0.40694444444444444</v>
      </c>
      <c r="N76" s="83"/>
      <c r="O76" s="83"/>
      <c r="P76" s="83"/>
      <c r="Q76" s="83"/>
      <c r="R76" s="83"/>
      <c r="S76" s="83"/>
      <c r="T76" s="83"/>
      <c r="U76" s="75"/>
      <c r="V76" s="75"/>
      <c r="W76" s="75"/>
    </row>
    <row r="77" spans="2:23">
      <c r="B77" t="str">
        <v>Tania</v>
      </c>
      <c r="C77" s="88">
        <f>COUNTIF(Global!J$5:U$96,B77)</f>
        <v>4</v>
      </c>
      <c r="J77" s="87" t="b">
        <f t="shared" si="2"/>
        <v>0</v>
      </c>
      <c r="K77" t="str">
        <v>Michela</v>
      </c>
      <c r="L77" s="83" cm="1">
        <f t="array" ref="L77:M77">_xlfn.LET(_xlpm.nome,K77,_xlpm.orari,Global!$G$5:$G$96,_xlpm.nomi,Global!$J$5:$U$96,IFERROR(_xlfn.TOROW(_xlfn._xlws.SORT(_xlfn.UNIQUE(_xlfn._xlws.FILTER(_xlpm.orari,_xlfn.BYROW(_xlpm.nomi,_xlfn.LAMBDA(_xlpm.r,COUNTIF(_xlpm.r,_xlpm.nome)&gt;0)) )))),""))</f>
        <v>0.39097222222222222</v>
      </c>
      <c r="M77" s="83">
        <v>0.40694444444444444</v>
      </c>
      <c r="N77" s="83"/>
      <c r="O77" s="83"/>
      <c r="P77" s="83"/>
      <c r="Q77" s="83"/>
      <c r="R77" s="83"/>
      <c r="S77" s="83"/>
      <c r="T77" s="83"/>
      <c r="U77" s="75"/>
      <c r="V77" s="75"/>
      <c r="W77" s="75"/>
    </row>
    <row r="78" spans="2:23">
      <c r="B78" t="str">
        <v>Thibaut Sauces</v>
      </c>
      <c r="C78" s="88">
        <f>COUNTIF(Global!J$5:U$96,B78)</f>
        <v>7</v>
      </c>
      <c r="J78" s="87" t="b">
        <f t="shared" si="2"/>
        <v>0</v>
      </c>
      <c r="K78" t="str">
        <v>Silvio</v>
      </c>
      <c r="L78" s="83" cm="1">
        <f t="array" ref="L78:M78">_xlfn.LET(_xlpm.nome,K78,_xlpm.orari,Global!$G$5:$G$96,_xlpm.nomi,Global!$J$5:$U$96,IFERROR(_xlfn.TOROW(_xlfn._xlws.SORT(_xlfn.UNIQUE(_xlfn._xlws.FILTER(_xlpm.orari,_xlfn.BYROW(_xlpm.nomi,_xlfn.LAMBDA(_xlpm.r,COUNTIF(_xlpm.r,_xlpm.nome)&gt;0)) )))),""))</f>
        <v>0.39097222222222222</v>
      </c>
      <c r="M78" s="83">
        <v>0.40694444444444444</v>
      </c>
      <c r="N78" s="83"/>
      <c r="O78" s="83"/>
      <c r="P78" s="83"/>
      <c r="Q78" s="83"/>
      <c r="R78" s="83"/>
      <c r="S78" s="83"/>
      <c r="T78" s="83"/>
      <c r="U78" s="75"/>
      <c r="V78" s="75"/>
      <c r="W78" s="75"/>
    </row>
    <row r="79" spans="2:23">
      <c r="B79" t="str">
        <v>Tom</v>
      </c>
      <c r="C79" s="88">
        <f>COUNTIF(Global!J$5:U$96,B79)</f>
        <v>5</v>
      </c>
      <c r="J79" s="87" t="b">
        <f t="shared" si="2"/>
        <v>0</v>
      </c>
      <c r="K79" t="str">
        <v xml:space="preserve">Medarova Keti </v>
      </c>
      <c r="L79" s="83" cm="1">
        <f t="array" ref="L79:M79">_xlfn.LET(_xlpm.nome,K79,_xlpm.orari,Global!$G$5:$G$96,_xlpm.nomi,Global!$J$5:$U$96,IFERROR(_xlfn.TOROW(_xlfn._xlws.SORT(_xlfn.UNIQUE(_xlfn._xlws.FILTER(_xlpm.orari,_xlfn.BYROW(_xlpm.nomi,_xlfn.LAMBDA(_xlpm.r,COUNTIF(_xlpm.r,_xlpm.nome)&gt;0)) )))),""))</f>
        <v>0.39097222222222222</v>
      </c>
      <c r="M79" s="83">
        <v>0.40694444444444444</v>
      </c>
      <c r="N79" s="83"/>
      <c r="O79" s="83"/>
      <c r="P79" s="83"/>
      <c r="Q79" s="83"/>
      <c r="R79" s="83"/>
      <c r="S79" s="83"/>
      <c r="T79" s="83"/>
      <c r="U79" s="75"/>
      <c r="V79" s="75"/>
      <c r="W79" s="75"/>
    </row>
    <row r="80" spans="2:23">
      <c r="B80" t="str">
        <v>Valentina Cordo</v>
      </c>
      <c r="C80" s="88">
        <f>COUNTIF(Global!J$5:U$96,B80)</f>
        <v>5</v>
      </c>
      <c r="J80" s="87" t="b">
        <f t="shared" si="2"/>
        <v>0</v>
      </c>
      <c r="K80" t="str">
        <v>ANTONELLI Margherita</v>
      </c>
      <c r="L80" s="83" cm="1">
        <f t="array" ref="L80:M80">_xlfn.LET(_xlpm.nome,K80,_xlpm.orari,Global!$G$5:$G$96,_xlpm.nomi,Global!$J$5:$U$96,IFERROR(_xlfn.TOROW(_xlfn._xlws.SORT(_xlfn.UNIQUE(_xlfn._xlws.FILTER(_xlpm.orari,_xlfn.BYROW(_xlpm.nomi,_xlfn.LAMBDA(_xlpm.r,COUNTIF(_xlpm.r,_xlpm.nome)&gt;0)) )))),""))</f>
        <v>0.39097222222222222</v>
      </c>
      <c r="M80" s="83">
        <v>0.42291666666666666</v>
      </c>
      <c r="N80" s="83"/>
      <c r="O80" s="83"/>
      <c r="P80" s="83"/>
      <c r="Q80" s="83"/>
      <c r="R80" s="83"/>
      <c r="S80" s="83"/>
      <c r="T80" s="83"/>
      <c r="U80" s="75"/>
      <c r="V80" s="75"/>
      <c r="W80" s="75"/>
    </row>
    <row r="81" spans="2:23">
      <c r="B81" t="str">
        <v>Valeria</v>
      </c>
      <c r="C81" s="88">
        <f>COUNTIF(Global!J$5:U$96,B81)</f>
        <v>2</v>
      </c>
      <c r="J81" s="87" t="b">
        <f t="shared" si="2"/>
        <v>0</v>
      </c>
      <c r="K81" t="str">
        <v xml:space="preserve">Deniz Javier </v>
      </c>
      <c r="L81" s="83" cm="1">
        <f t="array" ref="L81:M81">_xlfn.LET(_xlpm.nome,K81,_xlpm.orari,Global!$G$5:$G$96,_xlpm.nomi,Global!$J$5:$U$96,IFERROR(_xlfn.TOROW(_xlfn._xlws.SORT(_xlfn.UNIQUE(_xlfn._xlws.FILTER(_xlpm.orari,_xlfn.BYROW(_xlpm.nomi,_xlfn.LAMBDA(_xlpm.r,COUNTIF(_xlpm.r,_xlpm.nome)&gt;0)) )))),""))</f>
        <v>0.39097222222222222</v>
      </c>
      <c r="M81" s="83">
        <v>0.42291666666666666</v>
      </c>
      <c r="N81" s="83"/>
      <c r="O81" s="83"/>
      <c r="P81" s="83"/>
      <c r="Q81" s="83"/>
      <c r="R81" s="83"/>
      <c r="S81" s="83"/>
      <c r="T81" s="83"/>
      <c r="U81" s="75"/>
      <c r="V81" s="75"/>
      <c r="W81" s="75"/>
    </row>
    <row r="82" spans="2:23">
      <c r="B82" t="str">
        <v>Vasileios</v>
      </c>
      <c r="C82" s="88">
        <f>COUNTIF(Global!J$5:U$96,B82)</f>
        <v>8</v>
      </c>
      <c r="J82" s="87" t="b">
        <f t="shared" si="2"/>
        <v>0</v>
      </c>
      <c r="K82" t="str">
        <v>Federica Ferretti</v>
      </c>
      <c r="L82" s="83" cm="1">
        <f t="array" ref="L82:M82">_xlfn.LET(_xlpm.nome,K82,_xlpm.orari,Global!$G$5:$G$96,_xlpm.nomi,Global!$J$5:$U$96,IFERROR(_xlfn.TOROW(_xlfn._xlws.SORT(_xlfn.UNIQUE(_xlfn._xlws.FILTER(_xlpm.orari,_xlfn.BYROW(_xlpm.nomi,_xlfn.LAMBDA(_xlpm.r,COUNTIF(_xlpm.r,_xlpm.nome)&gt;0)) )))),""))</f>
        <v>0.40694444444444444</v>
      </c>
      <c r="M82" s="83">
        <v>0.42291666666666666</v>
      </c>
      <c r="N82" s="83"/>
      <c r="O82" s="83"/>
      <c r="P82" s="83"/>
      <c r="Q82" s="83"/>
      <c r="R82" s="83"/>
      <c r="S82" s="83"/>
      <c r="T82" s="83"/>
      <c r="U82" s="75"/>
      <c r="V82" s="75"/>
      <c r="W82" s="75"/>
    </row>
    <row r="83" spans="2:23">
      <c r="B83" t="str">
        <v>Wade</v>
      </c>
      <c r="C83" s="88">
        <f>COUNTIF(Global!J$5:U$96,B83)</f>
        <v>8</v>
      </c>
      <c r="J83" s="87" t="b">
        <f t="shared" si="2"/>
        <v>0</v>
      </c>
      <c r="K83" t="str">
        <v xml:space="preserve">Amedja Ecki </v>
      </c>
      <c r="L83" s="83" cm="1">
        <f t="array" ref="L83:M83">_xlfn.LET(_xlpm.nome,K83,_xlpm.orari,Global!$G$5:$G$96,_xlpm.nomi,Global!$J$5:$U$96,IFERROR(_xlfn.TOROW(_xlfn._xlws.SORT(_xlfn.UNIQUE(_xlfn._xlws.FILTER(_xlpm.orari,_xlfn.BYROW(_xlpm.nomi,_xlfn.LAMBDA(_xlpm.r,COUNTIF(_xlpm.r,_xlpm.nome)&gt;0)) )))),""))</f>
        <v>0.39097222222222222</v>
      </c>
      <c r="M83" s="83">
        <v>0.40694444444444444</v>
      </c>
    </row>
    <row r="84" spans="2:23">
      <c r="C84" s="88">
        <f>COUNTIF(Global!J$5:U$96,B84)</f>
        <v>0</v>
      </c>
      <c r="J84" s="87" t="b">
        <f t="shared" si="2"/>
        <v>0</v>
      </c>
      <c r="K84" t="str">
        <v>Diana</v>
      </c>
      <c r="L84" s="83" cm="1">
        <f t="array" ref="L84:M84">_xlfn.LET(_xlpm.nome,K84,_xlpm.orari,Global!$G$5:$G$96,_xlpm.nomi,Global!$J$5:$U$96,IFERROR(_xlfn.TOROW(_xlfn._xlws.SORT(_xlfn.UNIQUE(_xlfn._xlws.FILTER(_xlpm.orari,_xlfn.BYROW(_xlpm.nomi,_xlfn.LAMBDA(_xlpm.r,COUNTIF(_xlpm.r,_xlpm.nome)&gt;0)) )))),""))</f>
        <v>0.40694444444444444</v>
      </c>
      <c r="M84" s="83">
        <v>0.42291666666666666</v>
      </c>
    </row>
    <row r="85" spans="2:23">
      <c r="C85" s="88">
        <f>COUNTIF(Global!J$5:U$96,B85)</f>
        <v>0</v>
      </c>
      <c r="J85" s="87" t="b">
        <f t="shared" si="2"/>
        <v>0</v>
      </c>
      <c r="L85" s="83" t="str" cm="1">
        <f t="array" ref="L85">_xlfn.LET(_xlpm.nome,K85,_xlpm.orari,Global!$G$5:$G$96,_xlpm.nomi,Global!$J$5:$U$96,IFERROR(_xlfn.TOROW(_xlfn._xlws.SORT(_xlfn.UNIQUE(_xlfn._xlws.FILTER(_xlpm.orari,_xlfn.BYROW(_xlpm.nomi,_xlfn.LAMBDA(_xlpm.r,COUNTIF(_xlpm.r,_xlpm.nome)&gt;0)) )))),""))</f>
        <v/>
      </c>
      <c r="M85" s="83"/>
    </row>
    <row r="86" spans="2:23">
      <c r="C86" s="88">
        <f>COUNTIF(Global!J$5:U$96,B86)</f>
        <v>0</v>
      </c>
      <c r="J86" s="87" t="b">
        <f t="shared" si="2"/>
        <v>0</v>
      </c>
      <c r="L86" s="83" t="str" cm="1">
        <f t="array" ref="L86">_xlfn.LET(_xlpm.nome,K86,_xlpm.orari,Global!$G$5:$G$96,_xlpm.nomi,Global!$J$5:$U$96,IFERROR(_xlfn.TOROW(_xlfn._xlws.SORT(_xlfn.UNIQUE(_xlfn._xlws.FILTER(_xlpm.orari,_xlfn.BYROW(_xlpm.nomi,_xlfn.LAMBDA(_xlpm.r,COUNTIF(_xlpm.r,_xlpm.nome)&gt;0)) )))),""))</f>
        <v/>
      </c>
      <c r="M86" s="83"/>
    </row>
    <row r="87" spans="2:23">
      <c r="C87" s="88">
        <f>COUNTIF(Global!J$5:U$96,B87)</f>
        <v>0</v>
      </c>
      <c r="J87" s="87" t="b">
        <f t="shared" si="2"/>
        <v>0</v>
      </c>
      <c r="L87" s="83" t="str" cm="1">
        <f t="array" ref="L87">_xlfn.LET(_xlpm.nome,K87,_xlpm.orari,Global!$G$5:$G$96,_xlpm.nomi,Global!$J$5:$U$96,IFERROR(_xlfn.TOROW(_xlfn._xlws.SORT(_xlfn.UNIQUE(_xlfn._xlws.FILTER(_xlpm.orari,_xlfn.BYROW(_xlpm.nomi,_xlfn.LAMBDA(_xlpm.r,COUNTIF(_xlpm.r,_xlpm.nome)&gt;0)) )))),""))</f>
        <v/>
      </c>
      <c r="M87" s="83"/>
    </row>
    <row r="88" spans="2:23">
      <c r="J88" s="87" t="b">
        <f t="shared" si="2"/>
        <v>0</v>
      </c>
      <c r="L88" s="83" t="str" cm="1">
        <f t="array" ref="L88">_xlfn.LET(_xlpm.nome,K88,_xlpm.orari,Global!$G$5:$G$96,_xlpm.nomi,Global!$J$5:$U$96,IFERROR(_xlfn.TOROW(_xlfn._xlws.SORT(_xlfn.UNIQUE(_xlfn._xlws.FILTER(_xlpm.orari,_xlfn.BYROW(_xlpm.nomi,_xlfn.LAMBDA(_xlpm.r,COUNTIF(_xlpm.r,_xlpm.nome)&gt;0)) )))),""))</f>
        <v/>
      </c>
      <c r="M88" s="83"/>
    </row>
    <row r="89" spans="2:23">
      <c r="L89" s="83"/>
    </row>
  </sheetData>
  <autoFilter ref="C1:C89" xr:uid="{CC8C9BCB-65D6-48DF-A418-068F8105DE3A}"/>
  <conditionalFormatting sqref="J3:J88">
    <cfRule type="cellIs" dxfId="0" priority="1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 settings</vt:lpstr>
      <vt:lpstr>4x4 MIX</vt:lpstr>
      <vt:lpstr>2x2M</vt:lpstr>
      <vt:lpstr>2x2F</vt:lpstr>
      <vt:lpstr>2x2 MIX</vt:lpstr>
      <vt:lpstr>Global</vt:lpstr>
      <vt:lpstr>Agency calendar</vt:lpstr>
      <vt:lpstr>Standings</vt:lpstr>
      <vt:lpstr>Finals</vt:lpstr>
      <vt:lpstr>Players'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PACI Daniele (JRC-ISPRA)</dc:creator>
  <cp:lastModifiedBy>UGOLOTTI Roberto (JRC-ISPRA)</cp:lastModifiedBy>
  <dcterms:created xsi:type="dcterms:W3CDTF">2026-04-24T20:49:28Z</dcterms:created>
  <dcterms:modified xsi:type="dcterms:W3CDTF">2026-06-10T13:50:38Z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2026-04-24T21:00:28Z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b5efe731-0899-4871-98bd-9508d4aaa152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